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Budget" sheetId="3" state="visible" r:id="rId5"/>
    <sheet name="Fund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<sst xmlns="http://schemas.openxmlformats.org/spreadsheetml/2006/main" count="324" uniqueCount="246">
  <si>
    <t xml:space="preserve">The Wolf of McKenzie Towne: Season One Budget Summary</t>
  </si>
  <si>
    <t xml:space="preserve">All figures in Canadian dollars. Recalculates from the Assumptions, Budget and Funding sheets.</t>
  </si>
  <si>
    <t xml:space="preserve">Expenses by category</t>
  </si>
  <si>
    <t xml:space="preserve">Lean</t>
  </si>
  <si>
    <t xml:space="preserve">Target</t>
  </si>
  <si>
    <t xml:space="preserve">Share of Target</t>
  </si>
  <si>
    <t xml:space="preserve">1. Student mentors &amp; placements</t>
  </si>
  <si>
    <t xml:space="preserve">2. Planning sessions</t>
  </si>
  <si>
    <t xml:space="preserve">3. Costumes &amp; sets</t>
  </si>
  <si>
    <t xml:space="preserve">4. Race-day operations</t>
  </si>
  <si>
    <t xml:space="preserve">5. Marketing &amp; media</t>
  </si>
  <si>
    <t xml:space="preserve">6. Food (race day &amp; finale)</t>
  </si>
  <si>
    <t xml:space="preserve">7. Recognition &amp; thanks</t>
  </si>
  <si>
    <t xml:space="preserve">8. Insurance, permits &amp; safety</t>
  </si>
  <si>
    <t xml:space="preserve">Subtotal</t>
  </si>
  <si>
    <t xml:space="preserve">Contingency</t>
  </si>
  <si>
    <t xml:space="preserve">TOTAL EXPENSES</t>
  </si>
  <si>
    <t xml:space="preserve">Funding &amp; the MTC request</t>
  </si>
  <si>
    <t xml:space="preserve">Funding if every application succeeds (excl. MTC)</t>
  </si>
  <si>
    <t xml:space="preserve">Expected funding (probability-weighted, excl. MTC)</t>
  </si>
  <si>
    <t xml:space="preserve">Gap if every application succeeds</t>
  </si>
  <si>
    <t xml:space="preserve">Gap at expected funding</t>
  </si>
  <si>
    <t xml:space="preserve">Matching required: Inspiring Neighbourhoods (applicant ≥ request)</t>
  </si>
  <si>
    <t xml:space="preserve">RECOMMENDED MTC CASH REQUEST (larger of expected gap or matching need)</t>
  </si>
  <si>
    <t xml:space="preserve">In-kind items that could reduce cash needs (items marked Y)</t>
  </si>
  <si>
    <t xml:space="preserve">Key ratios</t>
  </si>
  <si>
    <t xml:space="preserve">Racers</t>
  </si>
  <si>
    <t xml:space="preserve">Cost per racer (total expenses ÷ racers)</t>
  </si>
  <si>
    <t xml:space="preserve">Share of costs covered by clan fees</t>
  </si>
  <si>
    <t xml:space="preserve">Student mentors &amp; placements as share of Target</t>
  </si>
  <si>
    <t xml:space="preserve">How to read this: Lean = a scrappy first year with borrowed gear and fewer paid roles. Target = doing it right, with paid summer students, a co-op term and full production values.</t>
  </si>
  <si>
    <t xml:space="preserve">Canada Summer Jobs and co-op wages appear as both an expense and (if approved) a subsidy, so their net cost is close to zero when funding succeeds.</t>
  </si>
  <si>
    <t xml:space="preserve">Placement/admin fees and mentor honoraria are assumptions per your direction; many credit placements carry no fee. Confirm with each school.</t>
  </si>
  <si>
    <t xml:space="preserve">Placeholders to confirm: insurance quote, City park/permit fees, app pricing, Towne Hall room rate, current Alberta minimum wage.</t>
  </si>
  <si>
    <t xml:space="preserve">Probabilities are planning judgements, not funder guidance. Update them as applications are submitted and decided.</t>
  </si>
  <si>
    <t xml:space="preserve">The Wolf of McKenzie Towne: Budget Assumptions</t>
  </si>
  <si>
    <t xml:space="preserve">Blue = inputs you can change. Black = formulas. Yellow = key levers to confirm. Every cost in the Budget sheet is driven from here or from its own row.</t>
  </si>
  <si>
    <t xml:space="preserve">Driver</t>
  </si>
  <si>
    <t xml:space="preserve">Notes / source</t>
  </si>
  <si>
    <t xml:space="preserve">Clans racing</t>
  </si>
  <si>
    <t xml:space="preserve">Clans of four teens aged 13–18. Planning estimate.</t>
  </si>
  <si>
    <t xml:space="preserve">Teens per clan</t>
  </si>
  <si>
    <t xml:space="preserve">Event design.</t>
  </si>
  <si>
    <t xml:space="preserve">Racers (formula)</t>
  </si>
  <si>
    <t xml:space="preserve">Clans × teens per clan.</t>
  </si>
  <si>
    <t xml:space="preserve">Youth Race Council members</t>
  </si>
  <si>
    <t xml:space="preserve">Event design: 8–14 teens.</t>
  </si>
  <si>
    <t xml:space="preserve">Planning sessions</t>
  </si>
  <si>
    <t xml:space="preserve">Mission Log: 8 Act I missions + 4 Act II missions.</t>
  </si>
  <si>
    <t xml:space="preserve">Attendees per planning session</t>
  </si>
  <si>
    <t xml:space="preserve">Youth council + student mentors + adult allies.</t>
  </si>
  <si>
    <t xml:space="preserve">Planning food per person per session</t>
  </si>
  <si>
    <t xml:space="preserve">Pizza / snacks / drinks. Planning estimate.</t>
  </si>
  <si>
    <t xml:space="preserve">Race-day adult volunteers</t>
  </si>
  <si>
    <t xml:space="preserve">2 adults per station, marshals, first aid, food crew.</t>
  </si>
  <si>
    <t xml:space="preserve">Finale meal guests beyond racers &amp; volunteers</t>
  </si>
  <si>
    <t xml:space="preserve">Families, neighbours, sponsors. Planning estimate.</t>
  </si>
  <si>
    <t xml:space="preserve">Finale meal cost per person</t>
  </si>
  <si>
    <t xml:space="preserve">BBQ-style community meal. Lower if food is donated.</t>
  </si>
  <si>
    <t xml:space="preserve">Clan entry fee (per clan of 4)</t>
  </si>
  <si>
    <t xml:space="preserve">Low but present: $10 per teen. User direction.</t>
  </si>
  <si>
    <t xml:space="preserve">Share of clans with fee waived (bursary)</t>
  </si>
  <si>
    <t xml:space="preserve">So cost never keeps a teen home.</t>
  </si>
  <si>
    <t xml:space="preserve">Lantern Mentors (practicum / CSL students)</t>
  </si>
  <si>
    <t xml:space="preserve">2 marketing + 2 theatre at Target.</t>
  </si>
  <si>
    <t xml:space="preserve">Mentor honorarium per mentor (season)</t>
  </si>
  <si>
    <t xml:space="preserve">Recognises unpaid placement work; confirm school policy allows it.</t>
  </si>
  <si>
    <t xml:space="preserve">Placement / admin fee per mentor</t>
  </si>
  <si>
    <t xml:space="preserve">ASSUMPTION per user: placements may carry a fee. Many Calgary CSL/practicum programs charge none — confirm with each school.</t>
  </si>
  <si>
    <t xml:space="preserve">Canada Summer Jobs assistants</t>
  </si>
  <si>
    <t xml:space="preserve">Full-time summer hires before race day.</t>
  </si>
  <si>
    <t xml:space="preserve">CSJ weeks</t>
  </si>
  <si>
    <t xml:space="preserve">CSJ allows 6–16 consecutive weeks.</t>
  </si>
  <si>
    <t xml:space="preserve">CSJ hours per week</t>
  </si>
  <si>
    <t xml:space="preserve">CSJ requires 30–40 hours/week.</t>
  </si>
  <si>
    <t xml:space="preserve">Alberta minimum wage ($/hr)</t>
  </si>
  <si>
    <t xml:space="preserve">Alberta general minimum wage; confirm current rate at alberta.ca before budgeting.</t>
  </si>
  <si>
    <t xml:space="preserve">Employer costs (CPP, EI, vacation pay, WCB) %</t>
  </si>
  <si>
    <t xml:space="preserve">Planning estimate of mandatory employment-related costs.</t>
  </si>
  <si>
    <t xml:space="preserve">Co-op students (marketing, paid term)</t>
  </si>
  <si>
    <t xml:space="preserve">Optional paid co-op term in spring/summer.</t>
  </si>
  <si>
    <t xml:space="preserve">Co-op wage ($/hr)</t>
  </si>
  <si>
    <t xml:space="preserve">Typical college co-op rate; confirm with school.</t>
  </si>
  <si>
    <t xml:space="preserve">Co-op weeks</t>
  </si>
  <si>
    <t xml:space="preserve">SWPP requires 6–16 weeks, min 180 hours.</t>
  </si>
  <si>
    <t xml:space="preserve">Co-op hours per week</t>
  </si>
  <si>
    <t xml:space="preserve">Volunteer &amp; council T-shirts</t>
  </si>
  <si>
    <t xml:space="preserve">Contingency %</t>
  </si>
  <si>
    <t xml:space="preserve">First-year event: higher contingency at Target.</t>
  </si>
  <si>
    <t xml:space="preserve">Expense Budget: Lean vs Target</t>
  </si>
  <si>
    <t xml:space="preserve">Qty × Unit cost = Total. Blue = inputs; green = pulled from Assumptions. 'In-kind?' = Y marks items that could be donated or borrowed instead of bought.</t>
  </si>
  <si>
    <t xml:space="preserve">Category</t>
  </si>
  <si>
    <t xml:space="preserve">Line item</t>
  </si>
  <si>
    <t xml:space="preserve">Lean qty</t>
  </si>
  <si>
    <t xml:space="preserve">Lean unit $</t>
  </si>
  <si>
    <t xml:space="preserve">Lean total</t>
  </si>
  <si>
    <t xml:space="preserve">Target qty</t>
  </si>
  <si>
    <t xml:space="preserve">Target unit $</t>
  </si>
  <si>
    <t xml:space="preserve">Target total</t>
  </si>
  <si>
    <t xml:space="preserve">In-kind?</t>
  </si>
  <si>
    <t xml:space="preserve">Notes / assumption</t>
  </si>
  <si>
    <t xml:space="preserve">Lantern Mentor honoraria</t>
  </si>
  <si>
    <t xml:space="preserve">Per mentor for the season.</t>
  </si>
  <si>
    <t xml:space="preserve">Placement / admin fees</t>
  </si>
  <si>
    <t xml:space="preserve">Assumed per user; confirm with MRU, SAIT, U of C.</t>
  </si>
  <si>
    <t xml:space="preserve">Mentor police checks (vulnerable sector)</t>
  </si>
  <si>
    <t xml:space="preserve">Planning estimate; confirm Calgary Police Service fee.</t>
  </si>
  <si>
    <t xml:space="preserve">Mentor transit / mileage</t>
  </si>
  <si>
    <t xml:space="preserve">Planning estimate.</t>
  </si>
  <si>
    <t xml:space="preserve">Canada Summer Jobs assistants (wages + employer costs)</t>
  </si>
  <si>
    <t xml:space="preserve">Offset by CSJ subsidy if approved (see Funding).</t>
  </si>
  <si>
    <t xml:space="preserve">Co-op marketing student (wages + employer costs)</t>
  </si>
  <si>
    <t xml:space="preserve">Partly offset by SWPP subsidy if eligible.</t>
  </si>
  <si>
    <t xml:space="preserve">Food at planning sessions</t>
  </si>
  <si>
    <t xml:space="preserve">Every Mission Log meeting.</t>
  </si>
  <si>
    <t xml:space="preserve">Meeting room (McKenzie Towne Hall)</t>
  </si>
  <si>
    <t xml:space="preserve">Y</t>
  </si>
  <si>
    <t xml:space="preserve">Ask MTC for in-kind use. Rate is a placeholder.</t>
  </si>
  <si>
    <t xml:space="preserve">Mission Log workbooks (colour print)</t>
  </si>
  <si>
    <t xml:space="preserve">Council + mentors + adult allies.</t>
  </si>
  <si>
    <t xml:space="preserve">Toolkit photocopy packs &amp; supplies</t>
  </si>
  <si>
    <t xml:space="preserve">Cards, markers, chart paper.</t>
  </si>
  <si>
    <t xml:space="preserve">Lantern Meter poster &amp; badge stickers</t>
  </si>
  <si>
    <t xml:space="preserve">Act I celebration night</t>
  </si>
  <si>
    <t xml:space="preserve">Pizza and a blooper reel after Mission 8.</t>
  </si>
  <si>
    <t xml:space="preserve">Debrief &amp; highlight-reel premiere night</t>
  </si>
  <si>
    <t xml:space="preserve">Mission 12; recruits Season Two.</t>
  </si>
  <si>
    <t xml:space="preserve">Laird Lachlan costume (kilt, sporran, hat)</t>
  </si>
  <si>
    <t xml:space="preserve">Rent or buy; may be borrowed from a theatre program.</t>
  </si>
  <si>
    <t xml:space="preserve">The Wolf costume &amp; mask</t>
  </si>
  <si>
    <t xml:space="preserve">Wolf Pack cloaks</t>
  </si>
  <si>
    <t xml:space="preserve">Dragon costume (Knight's Trial)</t>
  </si>
  <si>
    <t xml:space="preserve">Gazebo Tribunal wigs &amp; robes</t>
  </si>
  <si>
    <t xml:space="preserve">Dodgy Dougal costume</t>
  </si>
  <si>
    <t xml:space="preserve">Firetruck Park interrogation.</t>
  </si>
  <si>
    <t xml:space="preserve">Tartan bandanas (racers + council)</t>
  </si>
  <si>
    <t xml:space="preserve">Clan colours.</t>
  </si>
  <si>
    <t xml:space="preserve">Giant Lantern finale prop (frame, LED, fog machine)</t>
  </si>
  <si>
    <t xml:space="preserve">The peak-end moment; worth investing in.</t>
  </si>
  <si>
    <t xml:space="preserve">Station sets &amp; props (8 stations)</t>
  </si>
  <si>
    <t xml:space="preserve">Treasure maps, vault box, magnetic rods, pool noodles, etc.</t>
  </si>
  <si>
    <t xml:space="preserve">Nessie inflatable &amp; eggs</t>
  </si>
  <si>
    <t xml:space="preserve">Set-building materials (paint, wood, fabric)</t>
  </si>
  <si>
    <t xml:space="preserve">Reusable for Season Two.</t>
  </si>
  <si>
    <t xml:space="preserve">Flag belts (racers + spares)</t>
  </si>
  <si>
    <t xml:space="preserve">Wolf Pack glow belts</t>
  </si>
  <si>
    <t xml:space="preserve">Glow sticks (racers, volunteers, guests)</t>
  </si>
  <si>
    <t xml:space="preserve">Confetti cannons</t>
  </si>
  <si>
    <t xml:space="preserve">Finale.</t>
  </si>
  <si>
    <t xml:space="preserve">Water stations &amp; cups</t>
  </si>
  <si>
    <t xml:space="preserve">Tents / canopies</t>
  </si>
  <si>
    <t xml:space="preserve">Borrow first; rent if needed.</t>
  </si>
  <si>
    <t xml:space="preserve">Two-way radios</t>
  </si>
  <si>
    <t xml:space="preserve">Sound system / DJ</t>
  </si>
  <si>
    <t xml:space="preserve">Youth DJ with borrowed gear at Lean.</t>
  </si>
  <si>
    <t xml:space="preserve">Portable toilet at Elgin Hill</t>
  </si>
  <si>
    <t xml:space="preserve">Towne Hall washrooms may suffice.</t>
  </si>
  <si>
    <t xml:space="preserve">Reflective vests, cones &amp; walk-zone signs</t>
  </si>
  <si>
    <t xml:space="preserve">Scavenger-hunt app (live leaderboard)</t>
  </si>
  <si>
    <t xml:space="preserve">Group chat at Lean. App price is a placeholder; confirm non-profit rate.</t>
  </si>
  <si>
    <t xml:space="preserve">Posters (11x17)</t>
  </si>
  <si>
    <t xml:space="preserve">From the Claude Design poster series.</t>
  </si>
  <si>
    <t xml:space="preserve">Invitation comic print run</t>
  </si>
  <si>
    <t xml:space="preserve">Parents, sponsors, volunteers.</t>
  </si>
  <si>
    <t xml:space="preserve">Lawn signs &amp; banners</t>
  </si>
  <si>
    <t xml:space="preserve">Social media ads</t>
  </si>
  <si>
    <t xml:space="preserve">Targeted to Ward 12 families.</t>
  </si>
  <si>
    <t xml:space="preserve">QR video production (props, mics, lights)</t>
  </si>
  <si>
    <t xml:space="preserve">Laird and Wolf videos.</t>
  </si>
  <si>
    <t xml:space="preserve">Highlight reel (editing, music licence)</t>
  </si>
  <si>
    <t xml:space="preserve">Media Crew + marketing mentors.</t>
  </si>
  <si>
    <t xml:space="preserve">Website / domain &amp; registration platform</t>
  </si>
  <si>
    <t xml:space="preserve">Community finale meal</t>
  </si>
  <si>
    <t xml:space="preserve">Ask a grocer or restaurant to donate or discount.</t>
  </si>
  <si>
    <t xml:space="preserve">Race-day volunteer snacks &amp; water</t>
  </si>
  <si>
    <t xml:space="preserve">Haggis Gauntlet &amp; Loch Ness Smoothie supplies</t>
  </si>
  <si>
    <t xml:space="preserve">Small portions, allergen-screened.</t>
  </si>
  <si>
    <t xml:space="preserve">Food-safety supplies (gloves, allergen signs, sanitizer)</t>
  </si>
  <si>
    <t xml:space="preserve">Travelling Lantern trophy &amp; engraving</t>
  </si>
  <si>
    <t xml:space="preserve">Reused every year.</t>
  </si>
  <si>
    <t xml:space="preserve">Prizes &amp; awards (4 awards)</t>
  </si>
  <si>
    <t xml:space="preserve">Merchant-donated prizes welcome.</t>
  </si>
  <si>
    <t xml:space="preserve">Thank-you cards &amp; sponsor gifts</t>
  </si>
  <si>
    <t xml:space="preserve">Mission 12.</t>
  </si>
  <si>
    <t xml:space="preserve">Special-event liability insurance</t>
  </si>
  <si>
    <t xml:space="preserve">Placeholder; get a broker quote or confirm MTC/MTCA coverage.</t>
  </si>
  <si>
    <t xml:space="preserve">City park bookings / permits</t>
  </si>
  <si>
    <t xml:space="preserve">Placeholder; confirm with City of Calgary.</t>
  </si>
  <si>
    <t xml:space="preserve">First-aid kits &amp; supplies</t>
  </si>
  <si>
    <t xml:space="preserve">Adult volunteer police checks</t>
  </si>
  <si>
    <t xml:space="preserve">Often low-cost or free for volunteers with an organization letter; confirm.</t>
  </si>
  <si>
    <t xml:space="preserve">Subtotal (before contingency)</t>
  </si>
  <si>
    <t xml:space="preserve">Funding Plan: Revenue, Grants &amp; Subsidies</t>
  </si>
  <si>
    <t xml:space="preserve">Probability is a planning judgement (yellow). Weighted = Target × probability. MTC partner cash is calculated on the Summary sheet as the balancing request.</t>
  </si>
  <si>
    <t xml:space="preserve">Source</t>
  </si>
  <si>
    <t xml:space="preserve">Type</t>
  </si>
  <si>
    <t xml:space="preserve">Status</t>
  </si>
  <si>
    <t xml:space="preserve">Lean $</t>
  </si>
  <si>
    <t xml:space="preserve">Target $</t>
  </si>
  <si>
    <t xml:space="preserve">Probability</t>
  </si>
  <si>
    <t xml:space="preserve">Weighted (Target)</t>
  </si>
  <si>
    <t xml:space="preserve">Weighted (Lean)</t>
  </si>
  <si>
    <t xml:space="preserve">Deadline / timing</t>
  </si>
  <si>
    <t xml:space="preserve">Notes</t>
  </si>
  <si>
    <t xml:space="preserve">Clan entry fees (net of bursaries)</t>
  </si>
  <si>
    <t xml:space="preserve">Earned</t>
  </si>
  <si>
    <t xml:space="preserve">Planned</t>
  </si>
  <si>
    <t xml:space="preserve">Registration (early summer)</t>
  </si>
  <si>
    <t xml:space="preserve">Low fee, with bursaries.</t>
  </si>
  <si>
    <t xml:space="preserve">Good Places (Federation of Calgary Communities)</t>
  </si>
  <si>
    <t xml:space="preserve">Grant</t>
  </si>
  <si>
    <t xml:space="preserve">To apply</t>
  </si>
  <si>
    <t xml:space="preserve">30 Oct 2026</t>
  </si>
  <si>
    <t xml:space="preserve">$500–$15,000; community associations get priority. MTCA as applicant.</t>
  </si>
  <si>
    <t xml:space="preserve">Neighbour Grants (Calgary Foundation)</t>
  </si>
  <si>
    <t xml:space="preserve">9 Nov 2026 (confirm)</t>
  </si>
  <si>
    <t xml:space="preserve">Up to $10,000; artist fees eligible.</t>
  </si>
  <si>
    <t xml:space="preserve">Ward 12 Community Event Fund</t>
  </si>
  <si>
    <t xml:space="preserve">Opens 15 Dec 2026</t>
  </si>
  <si>
    <t xml:space="preserve">First come, first served.</t>
  </si>
  <si>
    <t xml:space="preserve">Jim Button Youth Grant (Youth Central)</t>
  </si>
  <si>
    <t xml:space="preserve">28 Oct 2026</t>
  </si>
  <si>
    <t xml:space="preserve">Youth-led application with a non-profit partner.</t>
  </si>
  <si>
    <t xml:space="preserve">Inspiring Neighbourhoods Grant (City)</t>
  </si>
  <si>
    <t xml:space="preserve">Grant (matching)</t>
  </si>
  <si>
    <t xml:space="preserve">Rolling</t>
  </si>
  <si>
    <t xml:space="preserve">Applicant must match the full request (see Summary).</t>
  </si>
  <si>
    <t xml:space="preserve">Arts &amp; Culture Microgrant, Tier 1 (City)</t>
  </si>
  <si>
    <t xml:space="preserve">Watch</t>
  </si>
  <si>
    <t xml:space="preserve">~March 2027 (unconfirmed)</t>
  </si>
  <si>
    <t xml:space="preserve">Theatre, costumes and finale costs.</t>
  </si>
  <si>
    <t xml:space="preserve">Canada Summer Jobs wage subsidy</t>
  </si>
  <si>
    <t xml:space="preserve">Subsidy</t>
  </si>
  <si>
    <t xml:space="preserve">Opens late Oct–Nov 2026</t>
  </si>
  <si>
    <t xml:space="preserve">Non-profits: up to 100% of minimum wage + employment costs.</t>
  </si>
  <si>
    <t xml:space="preserve">Student Work Placement Program (co-op)</t>
  </si>
  <si>
    <t xml:space="preserve">Explore</t>
  </si>
  <si>
    <t xml:space="preserve">Via delivery partner</t>
  </si>
  <si>
    <t xml:space="preserve">~50% of wages up to $5,000; eligibility for marketing roles unconfirmed.</t>
  </si>
  <si>
    <t xml:space="preserve">Local business sponsors (tiers)</t>
  </si>
  <si>
    <t xml:space="preserve">Sponsor</t>
  </si>
  <si>
    <t xml:space="preserve">To ask</t>
  </si>
  <si>
    <t xml:space="preserve">Jan–May 2027</t>
  </si>
  <si>
    <t xml:space="preserve">Laird's Circle, Clan Champion, Station Sponsor.</t>
  </si>
  <si>
    <t xml:space="preserve">Total (excluding MTC partner cash)</t>
  </si>
  <si>
    <t xml:space="preserve">Not counted as revenue: Riipen Level UP pays students $1,400 directly; college credit placements carry no wage. In-kind donations are tracked on the Summary sheet.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</si>
</sst>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%;\(0%\);\-"/>
    <numFmt numFmtId="167" formatCode="#,##0;\(#,##0\);\-"/>
    <numFmt numFmtId="168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B61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E8E2D4"/>
        <bgColor rgb="FFD9D2C2"/>
      </patternFill>
    </fill>
    <fill>
      <patternFill patternType="solid">
        <fgColor rgb="FFFFFF00"/>
        <bgColor rgb="FFFFFF00"/>
      </patternFill>
    </fill>
    <fill>
      <patternFill patternType="solid">
        <fgColor rgb="FFFBF6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2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2"/>
      <rgbColor rgb="FF808080"/>
      <rgbColor rgb="FF9999FF"/>
      <rgbColor rgb="FF993366"/>
      <rgbColor rgb="FFFBF6EC"/>
      <rgbColor rgb="FFCCFFFF"/>
      <rgbColor rgb="FF660066"/>
      <rgbColor rgb="FFFF8080"/>
      <rgbColor rgb="FF0066CC"/>
      <rgbColor rgb="FFE8E2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1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SUMIF(Budget!$A$5:$A$58,$A5,Budget!$E$5:$E$58)</f>
        <v>5854</v>
      </c>
      <c r="C5" s="6" t="n">
        <f aca="false">SUMIF(Budget!$A$5:$A$58,$A5,Budget!$H$5:$H$58)</f>
        <v>26318.4</v>
      </c>
      <c r="D5" s="7" t="n">
        <f aca="false">IF($C$13=0,0,C5/$C$13)</f>
        <v>0.608603756830443</v>
      </c>
    </row>
    <row r="6" customFormat="false" ht="15" hidden="false" customHeight="false" outlineLevel="0" collapsed="false">
      <c r="A6" s="5" t="s">
        <v>7</v>
      </c>
      <c r="B6" s="6" t="n">
        <f aca="false">SUMIF(Budget!$A$5:$A$58,$A6,Budget!$E$5:$E$58)</f>
        <v>1097</v>
      </c>
      <c r="C6" s="6" t="n">
        <f aca="false">SUMIF(Budget!$A$5:$A$58,$A6,Budget!$H$5:$H$58)</f>
        <v>2950</v>
      </c>
      <c r="D6" s="7" t="n">
        <f aca="false">IF($C$13=0,0,C6/$C$13)</f>
        <v>0.0682177139434695</v>
      </c>
    </row>
    <row r="7" customFormat="false" ht="15" hidden="false" customHeight="false" outlineLevel="0" collapsed="false">
      <c r="A7" s="5" t="s">
        <v>8</v>
      </c>
      <c r="B7" s="6" t="n">
        <f aca="false">SUMIF(Budget!$A$5:$A$58,$A7,Budget!$E$5:$E$58)</f>
        <v>1579</v>
      </c>
      <c r="C7" s="6" t="n">
        <f aca="false">SUMIF(Budget!$A$5:$A$58,$A7,Budget!$H$5:$H$58)</f>
        <v>3454</v>
      </c>
      <c r="D7" s="7" t="n">
        <f aca="false">IF($C$13=0,0,C7/$C$13)</f>
        <v>0.0798725369358453</v>
      </c>
    </row>
    <row r="8" customFormat="false" ht="15" hidden="false" customHeight="false" outlineLevel="0" collapsed="false">
      <c r="A8" s="5" t="s">
        <v>9</v>
      </c>
      <c r="B8" s="6" t="n">
        <f aca="false">SUMIF(Budget!$A$5:$A$58,$A8,Budget!$E$5:$E$58)</f>
        <v>470.2</v>
      </c>
      <c r="C8" s="6" t="n">
        <f aca="false">SUMIF(Budget!$A$5:$A$58,$A8,Budget!$H$5:$H$58)</f>
        <v>2793.5</v>
      </c>
      <c r="D8" s="7" t="n">
        <f aca="false">IF($C$13=0,0,C8/$C$13)</f>
        <v>0.0645987064071464</v>
      </c>
    </row>
    <row r="9" customFormat="false" ht="15" hidden="false" customHeight="false" outlineLevel="0" collapsed="false">
      <c r="A9" s="5" t="s">
        <v>10</v>
      </c>
      <c r="B9" s="6" t="n">
        <f aca="false">SUMIF(Budget!$A$5:$A$58,$A9,Budget!$E$5:$E$58)</f>
        <v>392.5</v>
      </c>
      <c r="C9" s="6" t="n">
        <f aca="false">SUMIF(Budget!$A$5:$A$58,$A9,Budget!$H$5:$H$58)</f>
        <v>2140</v>
      </c>
      <c r="D9" s="7" t="n">
        <f aca="false">IF($C$13=0,0,C9/$C$13)</f>
        <v>0.0494867484200084</v>
      </c>
    </row>
    <row r="10" customFormat="false" ht="15" hidden="false" customHeight="false" outlineLevel="0" collapsed="false">
      <c r="A10" s="5" t="s">
        <v>11</v>
      </c>
      <c r="B10" s="6" t="n">
        <f aca="false">SUMIF(Budget!$A$5:$A$58,$A10,Budget!$E$5:$E$58)</f>
        <v>925</v>
      </c>
      <c r="C10" s="6" t="n">
        <f aca="false">SUMIF(Budget!$A$5:$A$58,$A10,Budget!$H$5:$H$58)</f>
        <v>2283</v>
      </c>
      <c r="D10" s="7" t="n">
        <f aca="false">IF($C$13=0,0,C10/$C$13)</f>
        <v>0.0527935731976071</v>
      </c>
    </row>
    <row r="11" customFormat="false" ht="15" hidden="false" customHeight="false" outlineLevel="0" collapsed="false">
      <c r="A11" s="5" t="s">
        <v>12</v>
      </c>
      <c r="B11" s="6" t="n">
        <f aca="false">SUMIF(Budget!$A$5:$A$58,$A11,Budget!$E$5:$E$58)</f>
        <v>660</v>
      </c>
      <c r="C11" s="6" t="n">
        <f aca="false">SUMIF(Budget!$A$5:$A$58,$A11,Budget!$H$5:$H$58)</f>
        <v>1700</v>
      </c>
      <c r="D11" s="7" t="n">
        <f aca="false">IF($C$13=0,0,C11/$C$13)</f>
        <v>0.0393119029504739</v>
      </c>
    </row>
    <row r="12" customFormat="false" ht="15" hidden="false" customHeight="false" outlineLevel="0" collapsed="false">
      <c r="A12" s="5" t="s">
        <v>13</v>
      </c>
      <c r="B12" s="6" t="n">
        <f aca="false">SUMIF(Budget!$A$5:$A$58,$A12,Budget!$E$5:$E$58)</f>
        <v>480</v>
      </c>
      <c r="C12" s="6" t="n">
        <f aca="false">SUMIF(Budget!$A$5:$A$58,$A12,Budget!$H$5:$H$58)</f>
        <v>1605</v>
      </c>
      <c r="D12" s="7" t="n">
        <f aca="false">IF($C$13=0,0,C12/$C$13)</f>
        <v>0.0371150613150063</v>
      </c>
    </row>
    <row r="13" customFormat="false" ht="15" hidden="false" customHeight="false" outlineLevel="0" collapsed="false">
      <c r="A13" s="8" t="s">
        <v>14</v>
      </c>
      <c r="B13" s="9" t="n">
        <f aca="false">SUM(B5:B12)</f>
        <v>11457.7</v>
      </c>
      <c r="C13" s="9" t="n">
        <f aca="false">SUM(C5:C12)</f>
        <v>43243.9</v>
      </c>
      <c r="D13" s="2"/>
    </row>
    <row r="14" customFormat="false" ht="15" hidden="false" customHeight="false" outlineLevel="0" collapsed="false">
      <c r="A14" s="5" t="s">
        <v>15</v>
      </c>
      <c r="B14" s="10" t="n">
        <f aca="false">B13*Assumptions!$B$30</f>
        <v>1145.77</v>
      </c>
      <c r="C14" s="10" t="n">
        <f aca="false">C13*Assumptions!$C$30</f>
        <v>6486.585</v>
      </c>
      <c r="D14" s="2"/>
    </row>
    <row r="15" customFormat="false" ht="15" hidden="false" customHeight="false" outlineLevel="0" collapsed="false">
      <c r="A15" s="8" t="s">
        <v>16</v>
      </c>
      <c r="B15" s="11" t="n">
        <f aca="false">B13+B14</f>
        <v>12603.47</v>
      </c>
      <c r="C15" s="11" t="n">
        <f aca="false">C13+C14</f>
        <v>49730.485</v>
      </c>
      <c r="D15" s="2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12" t="s">
        <v>17</v>
      </c>
      <c r="B17" s="12" t="s">
        <v>3</v>
      </c>
      <c r="C17" s="12" t="s">
        <v>4</v>
      </c>
      <c r="D17" s="12"/>
    </row>
    <row r="18" customFormat="false" ht="15" hidden="false" customHeight="false" outlineLevel="0" collapsed="false">
      <c r="A18" s="5" t="s">
        <v>18</v>
      </c>
      <c r="B18" s="6" t="n">
        <f aca="false">Funding!D15</f>
        <v>24064</v>
      </c>
      <c r="C18" s="6" t="n">
        <f aca="false">Funding!E15</f>
        <v>49679.2</v>
      </c>
      <c r="D18" s="2"/>
    </row>
    <row r="19" customFormat="false" ht="15" hidden="false" customHeight="false" outlineLevel="0" collapsed="false">
      <c r="A19" s="5" t="s">
        <v>19</v>
      </c>
      <c r="B19" s="6" t="n">
        <f aca="false">Funding!H15</f>
        <v>13102.8</v>
      </c>
      <c r="C19" s="6" t="n">
        <f aca="false">Funding!G15</f>
        <v>27481.6</v>
      </c>
      <c r="D19" s="2"/>
    </row>
    <row r="20" customFormat="false" ht="15" hidden="false" customHeight="false" outlineLevel="0" collapsed="false">
      <c r="A20" s="5" t="s">
        <v>20</v>
      </c>
      <c r="B20" s="10" t="n">
        <f aca="false">B15-B18</f>
        <v>-11460.53</v>
      </c>
      <c r="C20" s="10" t="n">
        <f aca="false">C15-C18</f>
        <v>51.2849999999962</v>
      </c>
      <c r="D20" s="2"/>
    </row>
    <row r="21" customFormat="false" ht="15" hidden="false" customHeight="false" outlineLevel="0" collapsed="false">
      <c r="A21" s="5" t="s">
        <v>21</v>
      </c>
      <c r="B21" s="10" t="n">
        <f aca="false">B15-B19</f>
        <v>-499.329999999998</v>
      </c>
      <c r="C21" s="10" t="n">
        <f aca="false">C15-C19</f>
        <v>22248.885</v>
      </c>
      <c r="D21" s="2"/>
    </row>
    <row r="22" customFormat="false" ht="15" hidden="false" customHeight="false" outlineLevel="0" collapsed="false">
      <c r="A22" s="5" t="s">
        <v>22</v>
      </c>
      <c r="B22" s="6" t="n">
        <f aca="false">Funding!D10</f>
        <v>2500</v>
      </c>
      <c r="C22" s="6" t="n">
        <f aca="false">Funding!E10</f>
        <v>5000</v>
      </c>
      <c r="D22" s="2"/>
    </row>
    <row r="23" customFormat="false" ht="15" hidden="false" customHeight="false" outlineLevel="0" collapsed="false">
      <c r="A23" s="8" t="s">
        <v>23</v>
      </c>
      <c r="B23" s="13" t="n">
        <f aca="false">MAX(0,B21,B22)</f>
        <v>2500</v>
      </c>
      <c r="C23" s="13" t="n">
        <f aca="false">MAX(0,C21,C22)</f>
        <v>22248.885</v>
      </c>
      <c r="D23" s="2"/>
    </row>
    <row r="24" customFormat="false" ht="15" hidden="false" customHeight="false" outlineLevel="0" collapsed="false">
      <c r="A24" s="5" t="s">
        <v>24</v>
      </c>
      <c r="B24" s="6" t="n">
        <f aca="false">SUMIF(Budget!$I$5:$I$58,"Y",Budget!$E$5:$E$58)</f>
        <v>865</v>
      </c>
      <c r="C24" s="6" t="n">
        <f aca="false">SUMIF(Budget!$I$5:$I$58,"Y",Budget!$H$5:$H$58)</f>
        <v>3803</v>
      </c>
      <c r="D24" s="2"/>
    </row>
    <row r="25" customFormat="false" ht="15" hidden="false" customHeight="false" outlineLevel="0" collapsed="false">
      <c r="A25" s="2"/>
      <c r="B25" s="2"/>
      <c r="C25" s="2"/>
      <c r="D25" s="2"/>
    </row>
    <row r="26" customFormat="false" ht="15" hidden="false" customHeight="false" outlineLevel="0" collapsed="false">
      <c r="A26" s="12" t="s">
        <v>25</v>
      </c>
      <c r="B26" s="12" t="s">
        <v>3</v>
      </c>
      <c r="C26" s="12" t="s">
        <v>4</v>
      </c>
      <c r="D26" s="12"/>
    </row>
    <row r="27" customFormat="false" ht="15" hidden="false" customHeight="false" outlineLevel="0" collapsed="false">
      <c r="A27" s="5" t="s">
        <v>26</v>
      </c>
      <c r="B27" s="14" t="n">
        <f aca="false">Assumptions!$B$7</f>
        <v>48</v>
      </c>
      <c r="C27" s="14" t="n">
        <f aca="false">Assumptions!$C$7</f>
        <v>64</v>
      </c>
      <c r="D27" s="2"/>
    </row>
    <row r="28" customFormat="false" ht="15" hidden="false" customHeight="false" outlineLevel="0" collapsed="false">
      <c r="A28" s="5" t="s">
        <v>27</v>
      </c>
      <c r="B28" s="10" t="n">
        <f aca="false">IF(B27=0,0,B15/B27)</f>
        <v>262.572291666667</v>
      </c>
      <c r="C28" s="10" t="n">
        <f aca="false">IF(C27=0,0,C15/C27)</f>
        <v>777.038828125</v>
      </c>
      <c r="D28" s="2"/>
    </row>
    <row r="29" customFormat="false" ht="15" hidden="false" customHeight="false" outlineLevel="0" collapsed="false">
      <c r="A29" s="5" t="s">
        <v>28</v>
      </c>
      <c r="B29" s="7" t="n">
        <f aca="false">IF(B15=0,0,Funding!D5/B15)</f>
        <v>0.028563562257061</v>
      </c>
      <c r="C29" s="7" t="n">
        <f aca="false">IF(C15=0,0,Funding!E5/C15)</f>
        <v>0.00965202732287851</v>
      </c>
      <c r="D29" s="2"/>
    </row>
    <row r="30" customFormat="false" ht="15" hidden="false" customHeight="false" outlineLevel="0" collapsed="false">
      <c r="A30" s="5" t="s">
        <v>29</v>
      </c>
      <c r="B30" s="2"/>
      <c r="C30" s="7" t="n">
        <f aca="false">IF(C15=0,0,C5/C15)</f>
        <v>0.529220658113429</v>
      </c>
      <c r="D30" s="2"/>
    </row>
    <row r="31" customFormat="false" ht="15" hidden="false" customHeight="false" outlineLevel="0" collapsed="false">
      <c r="A31" s="2"/>
      <c r="B31" s="2"/>
      <c r="C31" s="2"/>
      <c r="D31" s="2"/>
    </row>
    <row r="32" customFormat="false" ht="25.5" hidden="false" customHeight="true" outlineLevel="0" collapsed="false">
      <c r="A32" s="15" t="s">
        <v>30</v>
      </c>
      <c r="B32" s="15"/>
      <c r="C32" s="15"/>
      <c r="D32" s="15"/>
    </row>
    <row r="33" customFormat="false" ht="25.5" hidden="false" customHeight="true" outlineLevel="0" collapsed="false">
      <c r="A33" s="15" t="s">
        <v>31</v>
      </c>
      <c r="B33" s="15"/>
      <c r="C33" s="15"/>
      <c r="D33" s="15"/>
    </row>
    <row r="34" customFormat="false" ht="25.5" hidden="false" customHeight="true" outlineLevel="0" collapsed="false">
      <c r="A34" s="15" t="s">
        <v>32</v>
      </c>
      <c r="B34" s="15"/>
      <c r="C34" s="15"/>
      <c r="D34" s="15"/>
    </row>
    <row r="35" customFormat="false" ht="25.5" hidden="false" customHeight="true" outlineLevel="0" collapsed="false">
      <c r="A35" s="15" t="s">
        <v>33</v>
      </c>
      <c r="B35" s="15"/>
      <c r="C35" s="15"/>
      <c r="D35" s="15"/>
    </row>
    <row r="36" customFormat="false" ht="25.5" hidden="false" customHeight="true" outlineLevel="0" collapsed="false">
      <c r="A36" s="15" t="s">
        <v>34</v>
      </c>
      <c r="B36" s="15"/>
      <c r="C36" s="15"/>
      <c r="D36" s="15"/>
    </row>
  </sheetData>
  <mergeCells count="5">
    <mergeCell ref="A32:D32"/>
    <mergeCell ref="A33:D33"/>
    <mergeCell ref="A34:D34"/>
    <mergeCell ref="A35:D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35</v>
      </c>
      <c r="B1" s="2"/>
      <c r="C1" s="2"/>
      <c r="D1" s="2"/>
    </row>
    <row r="2" customFormat="false" ht="15" hidden="false" customHeight="false" outlineLevel="0" collapsed="false">
      <c r="A2" s="3" t="s">
        <v>36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37</v>
      </c>
      <c r="B4" s="4" t="s">
        <v>3</v>
      </c>
      <c r="C4" s="4" t="s">
        <v>4</v>
      </c>
      <c r="D4" s="4" t="s">
        <v>38</v>
      </c>
    </row>
    <row r="5" customFormat="false" ht="15" hidden="false" customHeight="false" outlineLevel="0" collapsed="false">
      <c r="A5" s="16" t="s">
        <v>39</v>
      </c>
      <c r="B5" s="17" t="n">
        <v>12</v>
      </c>
      <c r="C5" s="17" t="n">
        <v>16</v>
      </c>
      <c r="D5" s="18" t="s">
        <v>40</v>
      </c>
    </row>
    <row r="6" customFormat="false" ht="15" hidden="false" customHeight="false" outlineLevel="0" collapsed="false">
      <c r="A6" s="16" t="s">
        <v>41</v>
      </c>
      <c r="B6" s="19" t="n">
        <v>4</v>
      </c>
      <c r="C6" s="19" t="n">
        <v>4</v>
      </c>
      <c r="D6" s="18" t="s">
        <v>42</v>
      </c>
    </row>
    <row r="7" customFormat="false" ht="15" hidden="false" customHeight="false" outlineLevel="0" collapsed="false">
      <c r="A7" s="16" t="s">
        <v>43</v>
      </c>
      <c r="B7" s="20" t="n">
        <f aca="false">B5*B6</f>
        <v>48</v>
      </c>
      <c r="C7" s="20" t="n">
        <f aca="false">C5*C6</f>
        <v>64</v>
      </c>
      <c r="D7" s="18" t="s">
        <v>44</v>
      </c>
    </row>
    <row r="8" customFormat="false" ht="15" hidden="false" customHeight="false" outlineLevel="0" collapsed="false">
      <c r="A8" s="16" t="s">
        <v>45</v>
      </c>
      <c r="B8" s="19" t="n">
        <v>10</v>
      </c>
      <c r="C8" s="19" t="n">
        <v>12</v>
      </c>
      <c r="D8" s="18" t="s">
        <v>46</v>
      </c>
    </row>
    <row r="9" customFormat="false" ht="15" hidden="false" customHeight="false" outlineLevel="0" collapsed="false">
      <c r="A9" s="16" t="s">
        <v>47</v>
      </c>
      <c r="B9" s="19" t="n">
        <v>12</v>
      </c>
      <c r="C9" s="19" t="n">
        <v>12</v>
      </c>
      <c r="D9" s="18" t="s">
        <v>48</v>
      </c>
    </row>
    <row r="10" customFormat="false" ht="15" hidden="false" customHeight="false" outlineLevel="0" collapsed="false">
      <c r="A10" s="16" t="s">
        <v>49</v>
      </c>
      <c r="B10" s="19" t="n">
        <v>14</v>
      </c>
      <c r="C10" s="19" t="n">
        <v>20</v>
      </c>
      <c r="D10" s="18" t="s">
        <v>50</v>
      </c>
    </row>
    <row r="11" customFormat="false" ht="15" hidden="false" customHeight="false" outlineLevel="0" collapsed="false">
      <c r="A11" s="16" t="s">
        <v>51</v>
      </c>
      <c r="B11" s="21" t="n">
        <v>4</v>
      </c>
      <c r="C11" s="21" t="n">
        <v>6</v>
      </c>
      <c r="D11" s="18" t="s">
        <v>52</v>
      </c>
    </row>
    <row r="12" customFormat="false" ht="15" hidden="false" customHeight="false" outlineLevel="0" collapsed="false">
      <c r="A12" s="16" t="s">
        <v>53</v>
      </c>
      <c r="B12" s="19" t="n">
        <v>25</v>
      </c>
      <c r="C12" s="19" t="n">
        <v>35</v>
      </c>
      <c r="D12" s="18" t="s">
        <v>54</v>
      </c>
    </row>
    <row r="13" customFormat="false" ht="15" hidden="false" customHeight="false" outlineLevel="0" collapsed="false">
      <c r="A13" s="16" t="s">
        <v>55</v>
      </c>
      <c r="B13" s="17" t="n">
        <v>60</v>
      </c>
      <c r="C13" s="17" t="n">
        <v>150</v>
      </c>
      <c r="D13" s="18" t="s">
        <v>56</v>
      </c>
    </row>
    <row r="14" customFormat="false" ht="15" hidden="false" customHeight="false" outlineLevel="0" collapsed="false">
      <c r="A14" s="16" t="s">
        <v>57</v>
      </c>
      <c r="B14" s="21" t="n">
        <v>5</v>
      </c>
      <c r="C14" s="21" t="n">
        <v>7</v>
      </c>
      <c r="D14" s="18" t="s">
        <v>58</v>
      </c>
    </row>
    <row r="15" customFormat="false" ht="15" hidden="false" customHeight="false" outlineLevel="0" collapsed="false">
      <c r="A15" s="16" t="s">
        <v>59</v>
      </c>
      <c r="B15" s="22" t="n">
        <v>40</v>
      </c>
      <c r="C15" s="22" t="n">
        <v>40</v>
      </c>
      <c r="D15" s="18" t="s">
        <v>60</v>
      </c>
    </row>
    <row r="16" customFormat="false" ht="15" hidden="false" customHeight="false" outlineLevel="0" collapsed="false">
      <c r="A16" s="16" t="s">
        <v>61</v>
      </c>
      <c r="B16" s="23" t="n">
        <v>0.25</v>
      </c>
      <c r="C16" s="23" t="n">
        <v>0.25</v>
      </c>
      <c r="D16" s="18" t="s">
        <v>62</v>
      </c>
    </row>
    <row r="17" customFormat="false" ht="15" hidden="false" customHeight="false" outlineLevel="0" collapsed="false">
      <c r="A17" s="16" t="s">
        <v>63</v>
      </c>
      <c r="B17" s="19" t="n">
        <v>2</v>
      </c>
      <c r="C17" s="19" t="n">
        <v>4</v>
      </c>
      <c r="D17" s="18" t="s">
        <v>64</v>
      </c>
    </row>
    <row r="18" customFormat="false" ht="15" hidden="false" customHeight="false" outlineLevel="0" collapsed="false">
      <c r="A18" s="16" t="s">
        <v>65</v>
      </c>
      <c r="B18" s="22" t="n">
        <v>400</v>
      </c>
      <c r="C18" s="22" t="n">
        <v>750</v>
      </c>
      <c r="D18" s="18" t="s">
        <v>66</v>
      </c>
    </row>
    <row r="19" customFormat="false" ht="15" hidden="false" customHeight="false" outlineLevel="0" collapsed="false">
      <c r="A19" s="16" t="s">
        <v>67</v>
      </c>
      <c r="B19" s="22" t="n">
        <v>100</v>
      </c>
      <c r="C19" s="22" t="n">
        <v>250</v>
      </c>
      <c r="D19" s="18" t="s">
        <v>68</v>
      </c>
    </row>
    <row r="20" customFormat="false" ht="15" hidden="false" customHeight="false" outlineLevel="0" collapsed="false">
      <c r="A20" s="16" t="s">
        <v>69</v>
      </c>
      <c r="B20" s="19" t="n">
        <v>1</v>
      </c>
      <c r="C20" s="19" t="n">
        <v>2</v>
      </c>
      <c r="D20" s="18" t="s">
        <v>70</v>
      </c>
    </row>
    <row r="21" customFormat="false" ht="15" hidden="false" customHeight="false" outlineLevel="0" collapsed="false">
      <c r="A21" s="16" t="s">
        <v>71</v>
      </c>
      <c r="B21" s="19" t="n">
        <v>8</v>
      </c>
      <c r="C21" s="19" t="n">
        <v>10</v>
      </c>
      <c r="D21" s="18" t="s">
        <v>72</v>
      </c>
    </row>
    <row r="22" customFormat="false" ht="15" hidden="false" customHeight="false" outlineLevel="0" collapsed="false">
      <c r="A22" s="16" t="s">
        <v>73</v>
      </c>
      <c r="B22" s="19" t="n">
        <v>35</v>
      </c>
      <c r="C22" s="19" t="n">
        <v>35</v>
      </c>
      <c r="D22" s="18" t="s">
        <v>74</v>
      </c>
    </row>
    <row r="23" customFormat="false" ht="15" hidden="false" customHeight="false" outlineLevel="0" collapsed="false">
      <c r="A23" s="16" t="s">
        <v>75</v>
      </c>
      <c r="B23" s="21" t="n">
        <v>15</v>
      </c>
      <c r="C23" s="21" t="n">
        <v>15</v>
      </c>
      <c r="D23" s="18" t="s">
        <v>76</v>
      </c>
    </row>
    <row r="24" customFormat="false" ht="15" hidden="false" customHeight="false" outlineLevel="0" collapsed="false">
      <c r="A24" s="16" t="s">
        <v>77</v>
      </c>
      <c r="B24" s="24" t="n">
        <v>0.12</v>
      </c>
      <c r="C24" s="24" t="n">
        <v>0.12</v>
      </c>
      <c r="D24" s="18" t="s">
        <v>78</v>
      </c>
    </row>
    <row r="25" customFormat="false" ht="15" hidden="false" customHeight="false" outlineLevel="0" collapsed="false">
      <c r="A25" s="16" t="s">
        <v>79</v>
      </c>
      <c r="B25" s="19" t="n">
        <v>0</v>
      </c>
      <c r="C25" s="19" t="n">
        <v>1</v>
      </c>
      <c r="D25" s="18" t="s">
        <v>80</v>
      </c>
    </row>
    <row r="26" customFormat="false" ht="15" hidden="false" customHeight="false" outlineLevel="0" collapsed="false">
      <c r="A26" s="16" t="s">
        <v>81</v>
      </c>
      <c r="B26" s="21" t="n">
        <v>18</v>
      </c>
      <c r="C26" s="21" t="n">
        <v>18</v>
      </c>
      <c r="D26" s="18" t="s">
        <v>82</v>
      </c>
    </row>
    <row r="27" customFormat="false" ht="15" hidden="false" customHeight="false" outlineLevel="0" collapsed="false">
      <c r="A27" s="16" t="s">
        <v>83</v>
      </c>
      <c r="B27" s="19" t="n">
        <v>12</v>
      </c>
      <c r="C27" s="19" t="n">
        <v>14</v>
      </c>
      <c r="D27" s="18" t="s">
        <v>84</v>
      </c>
    </row>
    <row r="28" customFormat="false" ht="15" hidden="false" customHeight="false" outlineLevel="0" collapsed="false">
      <c r="A28" s="16" t="s">
        <v>85</v>
      </c>
      <c r="B28" s="19" t="n">
        <v>35</v>
      </c>
      <c r="C28" s="19" t="n">
        <v>35</v>
      </c>
      <c r="D28" s="18"/>
    </row>
    <row r="29" customFormat="false" ht="15" hidden="false" customHeight="false" outlineLevel="0" collapsed="false">
      <c r="A29" s="16" t="s">
        <v>86</v>
      </c>
      <c r="B29" s="19" t="n">
        <v>30</v>
      </c>
      <c r="C29" s="19" t="n">
        <v>60</v>
      </c>
      <c r="D29" s="18"/>
    </row>
    <row r="30" customFormat="false" ht="15" hidden="false" customHeight="false" outlineLevel="0" collapsed="false">
      <c r="A30" s="16" t="s">
        <v>87</v>
      </c>
      <c r="B30" s="24" t="n">
        <v>0.1</v>
      </c>
      <c r="C30" s="24" t="n">
        <v>0.15</v>
      </c>
      <c r="D30" s="18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90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</row>
    <row r="5" customFormat="false" ht="15" hidden="false" customHeight="false" outlineLevel="0" collapsed="false">
      <c r="A5" s="16" t="s">
        <v>6</v>
      </c>
      <c r="B5" s="16" t="s">
        <v>101</v>
      </c>
      <c r="C5" s="25" t="n">
        <f aca="false">Assumptions!$B$17</f>
        <v>2</v>
      </c>
      <c r="D5" s="26" t="n">
        <f aca="false">Assumptions!$B$18</f>
        <v>400</v>
      </c>
      <c r="E5" s="27" t="n">
        <f aca="false">C5*D5</f>
        <v>800</v>
      </c>
      <c r="F5" s="25" t="n">
        <f aca="false">Assumptions!$C$17</f>
        <v>4</v>
      </c>
      <c r="G5" s="26" t="n">
        <f aca="false">Assumptions!$C$18</f>
        <v>750</v>
      </c>
      <c r="H5" s="27" t="n">
        <f aca="false">F5*G5</f>
        <v>3000</v>
      </c>
      <c r="I5" s="28"/>
      <c r="J5" s="18" t="s">
        <v>102</v>
      </c>
    </row>
    <row r="6" customFormat="false" ht="15" hidden="false" customHeight="false" outlineLevel="0" collapsed="false">
      <c r="A6" s="16" t="s">
        <v>6</v>
      </c>
      <c r="B6" s="16" t="s">
        <v>103</v>
      </c>
      <c r="C6" s="25" t="n">
        <f aca="false">Assumptions!$B$17</f>
        <v>2</v>
      </c>
      <c r="D6" s="26" t="n">
        <f aca="false">Assumptions!$B$19</f>
        <v>100</v>
      </c>
      <c r="E6" s="27" t="n">
        <f aca="false">C6*D6</f>
        <v>200</v>
      </c>
      <c r="F6" s="25" t="n">
        <f aca="false">Assumptions!$C$17</f>
        <v>4</v>
      </c>
      <c r="G6" s="26" t="n">
        <f aca="false">Assumptions!$C$19</f>
        <v>250</v>
      </c>
      <c r="H6" s="27" t="n">
        <f aca="false">F6*G6</f>
        <v>1000</v>
      </c>
      <c r="I6" s="28"/>
      <c r="J6" s="18" t="s">
        <v>104</v>
      </c>
    </row>
    <row r="7" customFormat="false" ht="15" hidden="false" customHeight="false" outlineLevel="0" collapsed="false">
      <c r="A7" s="16" t="s">
        <v>6</v>
      </c>
      <c r="B7" s="16" t="s">
        <v>105</v>
      </c>
      <c r="C7" s="25" t="n">
        <f aca="false">Assumptions!$B$17</f>
        <v>2</v>
      </c>
      <c r="D7" s="29" t="n">
        <v>25</v>
      </c>
      <c r="E7" s="27" t="n">
        <f aca="false">C7*D7</f>
        <v>50</v>
      </c>
      <c r="F7" s="25" t="n">
        <f aca="false">Assumptions!$C$17</f>
        <v>4</v>
      </c>
      <c r="G7" s="29" t="n">
        <v>50</v>
      </c>
      <c r="H7" s="27" t="n">
        <f aca="false">F7*G7</f>
        <v>200</v>
      </c>
      <c r="I7" s="28"/>
      <c r="J7" s="18" t="s">
        <v>106</v>
      </c>
    </row>
    <row r="8" customFormat="false" ht="15" hidden="false" customHeight="false" outlineLevel="0" collapsed="false">
      <c r="A8" s="16" t="s">
        <v>6</v>
      </c>
      <c r="B8" s="16" t="s">
        <v>107</v>
      </c>
      <c r="C8" s="25" t="n">
        <f aca="false">Assumptions!$B$17</f>
        <v>2</v>
      </c>
      <c r="D8" s="29" t="n">
        <v>50</v>
      </c>
      <c r="E8" s="27" t="n">
        <f aca="false">C8*D8</f>
        <v>100</v>
      </c>
      <c r="F8" s="25" t="n">
        <f aca="false">Assumptions!$C$17</f>
        <v>4</v>
      </c>
      <c r="G8" s="29" t="n">
        <v>120</v>
      </c>
      <c r="H8" s="27" t="n">
        <f aca="false">F8*G8</f>
        <v>480</v>
      </c>
      <c r="I8" s="28"/>
      <c r="J8" s="18" t="s">
        <v>108</v>
      </c>
    </row>
    <row r="9" customFormat="false" ht="15" hidden="false" customHeight="false" outlineLevel="0" collapsed="false">
      <c r="A9" s="16" t="s">
        <v>6</v>
      </c>
      <c r="B9" s="16" t="s">
        <v>109</v>
      </c>
      <c r="C9" s="25" t="n">
        <f aca="false">Assumptions!$B$20</f>
        <v>1</v>
      </c>
      <c r="D9" s="26" t="n">
        <f aca="false">Assumptions!$B$23*Assumptions!$B$21*Assumptions!$B$22*(1+Assumptions!$B$24)</f>
        <v>4704</v>
      </c>
      <c r="E9" s="27" t="n">
        <f aca="false">C9*D9</f>
        <v>4704</v>
      </c>
      <c r="F9" s="25" t="n">
        <f aca="false">Assumptions!$C$20</f>
        <v>2</v>
      </c>
      <c r="G9" s="26" t="n">
        <f aca="false">Assumptions!$C$23*Assumptions!$C$21*Assumptions!$C$22*(1+Assumptions!$C$24)</f>
        <v>5880</v>
      </c>
      <c r="H9" s="27" t="n">
        <f aca="false">F9*G9</f>
        <v>11760</v>
      </c>
      <c r="I9" s="28"/>
      <c r="J9" s="18" t="s">
        <v>110</v>
      </c>
    </row>
    <row r="10" customFormat="false" ht="15" hidden="false" customHeight="false" outlineLevel="0" collapsed="false">
      <c r="A10" s="16" t="s">
        <v>6</v>
      </c>
      <c r="B10" s="16" t="s">
        <v>111</v>
      </c>
      <c r="C10" s="25" t="n">
        <f aca="false">Assumptions!$B$25</f>
        <v>0</v>
      </c>
      <c r="D10" s="26" t="n">
        <f aca="false">Assumptions!$B$26*Assumptions!$B$27*Assumptions!$B$28*(1+Assumptions!$B$24)</f>
        <v>8467.2</v>
      </c>
      <c r="E10" s="27" t="n">
        <f aca="false">C10*D10</f>
        <v>0</v>
      </c>
      <c r="F10" s="25" t="n">
        <f aca="false">Assumptions!$C$25</f>
        <v>1</v>
      </c>
      <c r="G10" s="26" t="n">
        <f aca="false">Assumptions!$C$26*Assumptions!$C$27*Assumptions!$C$28*(1+Assumptions!$C$24)</f>
        <v>9878.4</v>
      </c>
      <c r="H10" s="27" t="n">
        <f aca="false">F10*G10</f>
        <v>9878.4</v>
      </c>
      <c r="I10" s="28"/>
      <c r="J10" s="18" t="s">
        <v>112</v>
      </c>
    </row>
    <row r="11" customFormat="false" ht="15" hidden="false" customHeight="false" outlineLevel="0" collapsed="false">
      <c r="A11" s="30" t="s">
        <v>7</v>
      </c>
      <c r="B11" s="30" t="s">
        <v>113</v>
      </c>
      <c r="C11" s="31" t="n">
        <f aca="false">Assumptions!$B$9</f>
        <v>12</v>
      </c>
      <c r="D11" s="32" t="n">
        <f aca="false">Assumptions!$B$10*Assumptions!$B$11</f>
        <v>56</v>
      </c>
      <c r="E11" s="33" t="n">
        <f aca="false">C11*D11</f>
        <v>672</v>
      </c>
      <c r="F11" s="31" t="n">
        <f aca="false">Assumptions!$C$9</f>
        <v>12</v>
      </c>
      <c r="G11" s="32" t="n">
        <f aca="false">Assumptions!$C$10*Assumptions!$C$11</f>
        <v>120</v>
      </c>
      <c r="H11" s="33" t="n">
        <f aca="false">F11*G11</f>
        <v>1440</v>
      </c>
      <c r="I11" s="34"/>
      <c r="J11" s="35" t="s">
        <v>114</v>
      </c>
    </row>
    <row r="12" customFormat="false" ht="15" hidden="false" customHeight="false" outlineLevel="0" collapsed="false">
      <c r="A12" s="30" t="s">
        <v>7</v>
      </c>
      <c r="B12" s="30" t="s">
        <v>115</v>
      </c>
      <c r="C12" s="31" t="n">
        <f aca="false">Assumptions!$B$9</f>
        <v>12</v>
      </c>
      <c r="D12" s="36" t="n">
        <v>0</v>
      </c>
      <c r="E12" s="33" t="n">
        <f aca="false">C12*D12</f>
        <v>0</v>
      </c>
      <c r="F12" s="31" t="n">
        <f aca="false">Assumptions!$C$9</f>
        <v>12</v>
      </c>
      <c r="G12" s="36" t="n">
        <v>40</v>
      </c>
      <c r="H12" s="33" t="n">
        <f aca="false">F12*G12</f>
        <v>480</v>
      </c>
      <c r="I12" s="34" t="s">
        <v>116</v>
      </c>
      <c r="J12" s="35" t="s">
        <v>117</v>
      </c>
    </row>
    <row r="13" customFormat="false" ht="15" hidden="false" customHeight="false" outlineLevel="0" collapsed="false">
      <c r="A13" s="30" t="s">
        <v>7</v>
      </c>
      <c r="B13" s="30" t="s">
        <v>118</v>
      </c>
      <c r="C13" s="31" t="n">
        <f aca="false">Assumptions!$B$8+4</f>
        <v>14</v>
      </c>
      <c r="D13" s="36" t="n">
        <v>15</v>
      </c>
      <c r="E13" s="33" t="n">
        <f aca="false">C13*D13</f>
        <v>210</v>
      </c>
      <c r="F13" s="31" t="n">
        <f aca="false">Assumptions!$C$8+4</f>
        <v>16</v>
      </c>
      <c r="G13" s="36" t="n">
        <v>25</v>
      </c>
      <c r="H13" s="33" t="n">
        <f aca="false">F13*G13</f>
        <v>400</v>
      </c>
      <c r="I13" s="34"/>
      <c r="J13" s="35" t="s">
        <v>119</v>
      </c>
    </row>
    <row r="14" customFormat="false" ht="15" hidden="false" customHeight="false" outlineLevel="0" collapsed="false">
      <c r="A14" s="30" t="s">
        <v>7</v>
      </c>
      <c r="B14" s="30" t="s">
        <v>120</v>
      </c>
      <c r="C14" s="37" t="n">
        <v>1</v>
      </c>
      <c r="D14" s="36" t="n">
        <v>75</v>
      </c>
      <c r="E14" s="33" t="n">
        <f aca="false">C14*D14</f>
        <v>75</v>
      </c>
      <c r="F14" s="37" t="n">
        <v>1</v>
      </c>
      <c r="G14" s="36" t="n">
        <v>150</v>
      </c>
      <c r="H14" s="33" t="n">
        <f aca="false">F14*G14</f>
        <v>150</v>
      </c>
      <c r="I14" s="34"/>
      <c r="J14" s="35" t="s">
        <v>121</v>
      </c>
    </row>
    <row r="15" customFormat="false" ht="15" hidden="false" customHeight="false" outlineLevel="0" collapsed="false">
      <c r="A15" s="30" t="s">
        <v>7</v>
      </c>
      <c r="B15" s="30" t="s">
        <v>122</v>
      </c>
      <c r="C15" s="37" t="n">
        <v>1</v>
      </c>
      <c r="D15" s="36" t="n">
        <v>40</v>
      </c>
      <c r="E15" s="33" t="n">
        <f aca="false">C15*D15</f>
        <v>40</v>
      </c>
      <c r="F15" s="37" t="n">
        <v>1</v>
      </c>
      <c r="G15" s="36" t="n">
        <v>80</v>
      </c>
      <c r="H15" s="33" t="n">
        <f aca="false">F15*G15</f>
        <v>80</v>
      </c>
      <c r="I15" s="34"/>
      <c r="J15" s="35"/>
    </row>
    <row r="16" customFormat="false" ht="15" hidden="false" customHeight="false" outlineLevel="0" collapsed="false">
      <c r="A16" s="30" t="s">
        <v>7</v>
      </c>
      <c r="B16" s="30" t="s">
        <v>123</v>
      </c>
      <c r="C16" s="37" t="n">
        <v>1</v>
      </c>
      <c r="D16" s="36" t="n">
        <v>0</v>
      </c>
      <c r="E16" s="33" t="n">
        <f aca="false">C16*D16</f>
        <v>0</v>
      </c>
      <c r="F16" s="37" t="n">
        <v>1</v>
      </c>
      <c r="G16" s="36" t="n">
        <v>100</v>
      </c>
      <c r="H16" s="33" t="n">
        <f aca="false">F16*G16</f>
        <v>100</v>
      </c>
      <c r="I16" s="34"/>
      <c r="J16" s="35" t="s">
        <v>124</v>
      </c>
    </row>
    <row r="17" customFormat="false" ht="15" hidden="false" customHeight="false" outlineLevel="0" collapsed="false">
      <c r="A17" s="30" t="s">
        <v>7</v>
      </c>
      <c r="B17" s="30" t="s">
        <v>125</v>
      </c>
      <c r="C17" s="37" t="n">
        <v>1</v>
      </c>
      <c r="D17" s="36" t="n">
        <v>100</v>
      </c>
      <c r="E17" s="33" t="n">
        <f aca="false">C17*D17</f>
        <v>100</v>
      </c>
      <c r="F17" s="37" t="n">
        <v>1</v>
      </c>
      <c r="G17" s="36" t="n">
        <v>300</v>
      </c>
      <c r="H17" s="33" t="n">
        <f aca="false">F17*G17</f>
        <v>300</v>
      </c>
      <c r="I17" s="34"/>
      <c r="J17" s="35" t="s">
        <v>126</v>
      </c>
    </row>
    <row r="18" customFormat="false" ht="15" hidden="false" customHeight="false" outlineLevel="0" collapsed="false">
      <c r="A18" s="16" t="s">
        <v>8</v>
      </c>
      <c r="B18" s="16" t="s">
        <v>127</v>
      </c>
      <c r="C18" s="19" t="n">
        <v>1</v>
      </c>
      <c r="D18" s="29" t="n">
        <v>80</v>
      </c>
      <c r="E18" s="27" t="n">
        <f aca="false">C18*D18</f>
        <v>80</v>
      </c>
      <c r="F18" s="19" t="n">
        <v>1</v>
      </c>
      <c r="G18" s="29" t="n">
        <v>200</v>
      </c>
      <c r="H18" s="27" t="n">
        <f aca="false">F18*G18</f>
        <v>200</v>
      </c>
      <c r="I18" s="28"/>
      <c r="J18" s="18" t="s">
        <v>128</v>
      </c>
    </row>
    <row r="19" customFormat="false" ht="15" hidden="false" customHeight="false" outlineLevel="0" collapsed="false">
      <c r="A19" s="16" t="s">
        <v>8</v>
      </c>
      <c r="B19" s="16" t="s">
        <v>129</v>
      </c>
      <c r="C19" s="19" t="n">
        <v>1</v>
      </c>
      <c r="D19" s="29" t="n">
        <v>60</v>
      </c>
      <c r="E19" s="27" t="n">
        <f aca="false">C19*D19</f>
        <v>60</v>
      </c>
      <c r="F19" s="19" t="n">
        <v>1</v>
      </c>
      <c r="G19" s="29" t="n">
        <v>150</v>
      </c>
      <c r="H19" s="27" t="n">
        <f aca="false">F19*G19</f>
        <v>150</v>
      </c>
      <c r="I19" s="28"/>
      <c r="J19" s="18"/>
    </row>
    <row r="20" customFormat="false" ht="15" hidden="false" customHeight="false" outlineLevel="0" collapsed="false">
      <c r="A20" s="16" t="s">
        <v>8</v>
      </c>
      <c r="B20" s="16" t="s">
        <v>130</v>
      </c>
      <c r="C20" s="19" t="n">
        <v>8</v>
      </c>
      <c r="D20" s="29" t="n">
        <v>20</v>
      </c>
      <c r="E20" s="27" t="n">
        <f aca="false">C20*D20</f>
        <v>160</v>
      </c>
      <c r="F20" s="19" t="n">
        <v>10</v>
      </c>
      <c r="G20" s="29" t="n">
        <v>30</v>
      </c>
      <c r="H20" s="27" t="n">
        <f aca="false">F20*G20</f>
        <v>300</v>
      </c>
      <c r="I20" s="28"/>
      <c r="J20" s="18"/>
    </row>
    <row r="21" customFormat="false" ht="15" hidden="false" customHeight="false" outlineLevel="0" collapsed="false">
      <c r="A21" s="16" t="s">
        <v>8</v>
      </c>
      <c r="B21" s="16" t="s">
        <v>131</v>
      </c>
      <c r="C21" s="19" t="n">
        <v>1</v>
      </c>
      <c r="D21" s="29" t="n">
        <v>50</v>
      </c>
      <c r="E21" s="27" t="n">
        <f aca="false">C21*D21</f>
        <v>50</v>
      </c>
      <c r="F21" s="19" t="n">
        <v>1</v>
      </c>
      <c r="G21" s="29" t="n">
        <v>120</v>
      </c>
      <c r="H21" s="27" t="n">
        <f aca="false">F21*G21</f>
        <v>120</v>
      </c>
      <c r="I21" s="28"/>
      <c r="J21" s="18"/>
    </row>
    <row r="22" customFormat="false" ht="15" hidden="false" customHeight="false" outlineLevel="0" collapsed="false">
      <c r="A22" s="16" t="s">
        <v>8</v>
      </c>
      <c r="B22" s="16" t="s">
        <v>132</v>
      </c>
      <c r="C22" s="19" t="n">
        <v>3</v>
      </c>
      <c r="D22" s="29" t="n">
        <v>15</v>
      </c>
      <c r="E22" s="27" t="n">
        <f aca="false">C22*D22</f>
        <v>45</v>
      </c>
      <c r="F22" s="19" t="n">
        <v>3</v>
      </c>
      <c r="G22" s="29" t="n">
        <v>30</v>
      </c>
      <c r="H22" s="27" t="n">
        <f aca="false">F22*G22</f>
        <v>90</v>
      </c>
      <c r="I22" s="28"/>
      <c r="J22" s="18"/>
    </row>
    <row r="23" customFormat="false" ht="15" hidden="false" customHeight="false" outlineLevel="0" collapsed="false">
      <c r="A23" s="16" t="s">
        <v>8</v>
      </c>
      <c r="B23" s="16" t="s">
        <v>133</v>
      </c>
      <c r="C23" s="19" t="n">
        <v>1</v>
      </c>
      <c r="D23" s="29" t="n">
        <v>20</v>
      </c>
      <c r="E23" s="27" t="n">
        <f aca="false">C23*D23</f>
        <v>20</v>
      </c>
      <c r="F23" s="19" t="n">
        <v>1</v>
      </c>
      <c r="G23" s="29" t="n">
        <v>40</v>
      </c>
      <c r="H23" s="27" t="n">
        <f aca="false">F23*G23</f>
        <v>40</v>
      </c>
      <c r="I23" s="28"/>
      <c r="J23" s="18" t="s">
        <v>134</v>
      </c>
    </row>
    <row r="24" customFormat="false" ht="15" hidden="false" customHeight="false" outlineLevel="0" collapsed="false">
      <c r="A24" s="16" t="s">
        <v>8</v>
      </c>
      <c r="B24" s="16" t="s">
        <v>135</v>
      </c>
      <c r="C24" s="25" t="n">
        <f aca="false">Assumptions!$B$7+Assumptions!$B$8</f>
        <v>58</v>
      </c>
      <c r="D24" s="29" t="n">
        <v>3</v>
      </c>
      <c r="E24" s="27" t="n">
        <f aca="false">C24*D24</f>
        <v>174</v>
      </c>
      <c r="F24" s="25" t="n">
        <f aca="false">Assumptions!$C$7+Assumptions!$C$8</f>
        <v>76</v>
      </c>
      <c r="G24" s="29" t="n">
        <v>4</v>
      </c>
      <c r="H24" s="27" t="n">
        <f aca="false">F24*G24</f>
        <v>304</v>
      </c>
      <c r="I24" s="28"/>
      <c r="J24" s="18" t="s">
        <v>136</v>
      </c>
    </row>
    <row r="25" customFormat="false" ht="15" hidden="false" customHeight="false" outlineLevel="0" collapsed="false">
      <c r="A25" s="16" t="s">
        <v>8</v>
      </c>
      <c r="B25" s="16" t="s">
        <v>137</v>
      </c>
      <c r="C25" s="19" t="n">
        <v>1</v>
      </c>
      <c r="D25" s="29" t="n">
        <v>300</v>
      </c>
      <c r="E25" s="27" t="n">
        <f aca="false">C25*D25</f>
        <v>300</v>
      </c>
      <c r="F25" s="19" t="n">
        <v>1</v>
      </c>
      <c r="G25" s="29" t="n">
        <v>700</v>
      </c>
      <c r="H25" s="27" t="n">
        <f aca="false">F25*G25</f>
        <v>700</v>
      </c>
      <c r="I25" s="28"/>
      <c r="J25" s="18" t="s">
        <v>138</v>
      </c>
    </row>
    <row r="26" customFormat="false" ht="15" hidden="false" customHeight="false" outlineLevel="0" collapsed="false">
      <c r="A26" s="16" t="s">
        <v>8</v>
      </c>
      <c r="B26" s="16" t="s">
        <v>139</v>
      </c>
      <c r="C26" s="19" t="n">
        <v>8</v>
      </c>
      <c r="D26" s="29" t="n">
        <v>60</v>
      </c>
      <c r="E26" s="27" t="n">
        <f aca="false">C26*D26</f>
        <v>480</v>
      </c>
      <c r="F26" s="19" t="n">
        <v>8</v>
      </c>
      <c r="G26" s="29" t="n">
        <v>125</v>
      </c>
      <c r="H26" s="27" t="n">
        <f aca="false">F26*G26</f>
        <v>1000</v>
      </c>
      <c r="I26" s="28"/>
      <c r="J26" s="18" t="s">
        <v>140</v>
      </c>
    </row>
    <row r="27" customFormat="false" ht="15" hidden="false" customHeight="false" outlineLevel="0" collapsed="false">
      <c r="A27" s="16" t="s">
        <v>8</v>
      </c>
      <c r="B27" s="16" t="s">
        <v>141</v>
      </c>
      <c r="C27" s="19" t="n">
        <v>1</v>
      </c>
      <c r="D27" s="29" t="n">
        <v>60</v>
      </c>
      <c r="E27" s="27" t="n">
        <f aca="false">C27*D27</f>
        <v>60</v>
      </c>
      <c r="F27" s="19" t="n">
        <v>1</v>
      </c>
      <c r="G27" s="29" t="n">
        <v>150</v>
      </c>
      <c r="H27" s="27" t="n">
        <f aca="false">F27*G27</f>
        <v>150</v>
      </c>
      <c r="I27" s="28"/>
      <c r="J27" s="18"/>
    </row>
    <row r="28" customFormat="false" ht="15" hidden="false" customHeight="false" outlineLevel="0" collapsed="false">
      <c r="A28" s="16" t="s">
        <v>8</v>
      </c>
      <c r="B28" s="16" t="s">
        <v>142</v>
      </c>
      <c r="C28" s="19" t="n">
        <v>1</v>
      </c>
      <c r="D28" s="29" t="n">
        <v>150</v>
      </c>
      <c r="E28" s="27" t="n">
        <f aca="false">C28*D28</f>
        <v>150</v>
      </c>
      <c r="F28" s="19" t="n">
        <v>1</v>
      </c>
      <c r="G28" s="29" t="n">
        <v>400</v>
      </c>
      <c r="H28" s="27" t="n">
        <f aca="false">F28*G28</f>
        <v>400</v>
      </c>
      <c r="I28" s="28"/>
      <c r="J28" s="18" t="s">
        <v>143</v>
      </c>
    </row>
    <row r="29" customFormat="false" ht="15" hidden="false" customHeight="false" outlineLevel="0" collapsed="false">
      <c r="A29" s="30" t="s">
        <v>9</v>
      </c>
      <c r="B29" s="30" t="s">
        <v>144</v>
      </c>
      <c r="C29" s="31" t="n">
        <f aca="false">Assumptions!$B$7+10</f>
        <v>58</v>
      </c>
      <c r="D29" s="36" t="n">
        <v>2.5</v>
      </c>
      <c r="E29" s="33" t="n">
        <f aca="false">C29*D29</f>
        <v>145</v>
      </c>
      <c r="F29" s="31" t="n">
        <f aca="false">Assumptions!$C$7+10</f>
        <v>74</v>
      </c>
      <c r="G29" s="36" t="n">
        <v>3.5</v>
      </c>
      <c r="H29" s="33" t="n">
        <f aca="false">F29*G29</f>
        <v>259</v>
      </c>
      <c r="I29" s="34"/>
      <c r="J29" s="35"/>
    </row>
    <row r="30" customFormat="false" ht="15" hidden="false" customHeight="false" outlineLevel="0" collapsed="false">
      <c r="A30" s="30" t="s">
        <v>9</v>
      </c>
      <c r="B30" s="30" t="s">
        <v>145</v>
      </c>
      <c r="C30" s="37" t="n">
        <v>8</v>
      </c>
      <c r="D30" s="36" t="n">
        <v>8</v>
      </c>
      <c r="E30" s="33" t="n">
        <f aca="false">C30*D30</f>
        <v>64</v>
      </c>
      <c r="F30" s="37" t="n">
        <v>10</v>
      </c>
      <c r="G30" s="36" t="n">
        <v>12</v>
      </c>
      <c r="H30" s="33" t="n">
        <f aca="false">F30*G30</f>
        <v>120</v>
      </c>
      <c r="I30" s="34"/>
      <c r="J30" s="35"/>
    </row>
    <row r="31" customFormat="false" ht="15" hidden="false" customHeight="false" outlineLevel="0" collapsed="false">
      <c r="A31" s="30" t="s">
        <v>9</v>
      </c>
      <c r="B31" s="30" t="s">
        <v>146</v>
      </c>
      <c r="C31" s="31" t="n">
        <f aca="false">Assumptions!$B$7+Assumptions!$B$12+Assumptions!$B$13</f>
        <v>133</v>
      </c>
      <c r="D31" s="36" t="n">
        <v>0.4</v>
      </c>
      <c r="E31" s="33" t="n">
        <f aca="false">C31*D31</f>
        <v>53.2</v>
      </c>
      <c r="F31" s="31" t="n">
        <f aca="false">Assumptions!$C$7+Assumptions!$C$12+Assumptions!$C$13</f>
        <v>249</v>
      </c>
      <c r="G31" s="36" t="n">
        <v>0.5</v>
      </c>
      <c r="H31" s="33" t="n">
        <f aca="false">F31*G31</f>
        <v>124.5</v>
      </c>
      <c r="I31" s="34"/>
      <c r="J31" s="35"/>
    </row>
    <row r="32" customFormat="false" ht="15" hidden="false" customHeight="false" outlineLevel="0" collapsed="false">
      <c r="A32" s="30" t="s">
        <v>9</v>
      </c>
      <c r="B32" s="30" t="s">
        <v>147</v>
      </c>
      <c r="C32" s="37" t="n">
        <v>4</v>
      </c>
      <c r="D32" s="36" t="n">
        <v>12</v>
      </c>
      <c r="E32" s="33" t="n">
        <f aca="false">C32*D32</f>
        <v>48</v>
      </c>
      <c r="F32" s="37" t="n">
        <v>10</v>
      </c>
      <c r="G32" s="36" t="n">
        <v>15</v>
      </c>
      <c r="H32" s="33" t="n">
        <f aca="false">F32*G32</f>
        <v>150</v>
      </c>
      <c r="I32" s="34"/>
      <c r="J32" s="35" t="s">
        <v>148</v>
      </c>
    </row>
    <row r="33" customFormat="false" ht="15" hidden="false" customHeight="false" outlineLevel="0" collapsed="false">
      <c r="A33" s="30" t="s">
        <v>9</v>
      </c>
      <c r="B33" s="30" t="s">
        <v>149</v>
      </c>
      <c r="C33" s="37" t="n">
        <v>1</v>
      </c>
      <c r="D33" s="36" t="n">
        <v>60</v>
      </c>
      <c r="E33" s="33" t="n">
        <f aca="false">C33*D33</f>
        <v>60</v>
      </c>
      <c r="F33" s="37" t="n">
        <v>1</v>
      </c>
      <c r="G33" s="36" t="n">
        <v>150</v>
      </c>
      <c r="H33" s="33" t="n">
        <f aca="false">F33*G33</f>
        <v>150</v>
      </c>
      <c r="I33" s="34"/>
      <c r="J33" s="35"/>
    </row>
    <row r="34" customFormat="false" ht="15" hidden="false" customHeight="false" outlineLevel="0" collapsed="false">
      <c r="A34" s="30" t="s">
        <v>9</v>
      </c>
      <c r="B34" s="30" t="s">
        <v>150</v>
      </c>
      <c r="C34" s="37" t="n">
        <v>2</v>
      </c>
      <c r="D34" s="36" t="n">
        <v>0</v>
      </c>
      <c r="E34" s="33" t="n">
        <f aca="false">C34*D34</f>
        <v>0</v>
      </c>
      <c r="F34" s="37" t="n">
        <v>4</v>
      </c>
      <c r="G34" s="36" t="n">
        <v>60</v>
      </c>
      <c r="H34" s="33" t="n">
        <f aca="false">F34*G34</f>
        <v>240</v>
      </c>
      <c r="I34" s="34" t="s">
        <v>116</v>
      </c>
      <c r="J34" s="35" t="s">
        <v>151</v>
      </c>
    </row>
    <row r="35" customFormat="false" ht="15" hidden="false" customHeight="false" outlineLevel="0" collapsed="false">
      <c r="A35" s="30" t="s">
        <v>9</v>
      </c>
      <c r="B35" s="30" t="s">
        <v>152</v>
      </c>
      <c r="C35" s="37" t="n">
        <v>6</v>
      </c>
      <c r="D35" s="36" t="n">
        <v>0</v>
      </c>
      <c r="E35" s="33" t="n">
        <f aca="false">C35*D35</f>
        <v>0</v>
      </c>
      <c r="F35" s="37" t="n">
        <v>10</v>
      </c>
      <c r="G35" s="36" t="n">
        <v>25</v>
      </c>
      <c r="H35" s="33" t="n">
        <f aca="false">F35*G35</f>
        <v>250</v>
      </c>
      <c r="I35" s="34" t="s">
        <v>116</v>
      </c>
      <c r="J35" s="35" t="s">
        <v>151</v>
      </c>
    </row>
    <row r="36" customFormat="false" ht="15" hidden="false" customHeight="false" outlineLevel="0" collapsed="false">
      <c r="A36" s="30" t="s">
        <v>9</v>
      </c>
      <c r="B36" s="30" t="s">
        <v>153</v>
      </c>
      <c r="C36" s="37" t="n">
        <v>1</v>
      </c>
      <c r="D36" s="36" t="n">
        <v>0</v>
      </c>
      <c r="E36" s="33" t="n">
        <f aca="false">C36*D36</f>
        <v>0</v>
      </c>
      <c r="F36" s="37" t="n">
        <v>1</v>
      </c>
      <c r="G36" s="36" t="n">
        <v>600</v>
      </c>
      <c r="H36" s="33" t="n">
        <f aca="false">F36*G36</f>
        <v>600</v>
      </c>
      <c r="I36" s="34" t="s">
        <v>116</v>
      </c>
      <c r="J36" s="35" t="s">
        <v>154</v>
      </c>
    </row>
    <row r="37" customFormat="false" ht="15" hidden="false" customHeight="false" outlineLevel="0" collapsed="false">
      <c r="A37" s="30" t="s">
        <v>9</v>
      </c>
      <c r="B37" s="30" t="s">
        <v>155</v>
      </c>
      <c r="C37" s="37" t="n">
        <v>0</v>
      </c>
      <c r="D37" s="36" t="n">
        <v>250</v>
      </c>
      <c r="E37" s="33" t="n">
        <f aca="false">C37*D37</f>
        <v>0</v>
      </c>
      <c r="F37" s="37" t="n">
        <v>1</v>
      </c>
      <c r="G37" s="36" t="n">
        <v>250</v>
      </c>
      <c r="H37" s="33" t="n">
        <f aca="false">F37*G37</f>
        <v>250</v>
      </c>
      <c r="I37" s="34"/>
      <c r="J37" s="35" t="s">
        <v>156</v>
      </c>
    </row>
    <row r="38" customFormat="false" ht="15" hidden="false" customHeight="false" outlineLevel="0" collapsed="false">
      <c r="A38" s="30" t="s">
        <v>9</v>
      </c>
      <c r="B38" s="30" t="s">
        <v>157</v>
      </c>
      <c r="C38" s="37" t="n">
        <v>1</v>
      </c>
      <c r="D38" s="36" t="n">
        <v>100</v>
      </c>
      <c r="E38" s="33" t="n">
        <f aca="false">C38*D38</f>
        <v>100</v>
      </c>
      <c r="F38" s="37" t="n">
        <v>1</v>
      </c>
      <c r="G38" s="36" t="n">
        <v>250</v>
      </c>
      <c r="H38" s="33" t="n">
        <f aca="false">F38*G38</f>
        <v>250</v>
      </c>
      <c r="I38" s="34" t="s">
        <v>116</v>
      </c>
      <c r="J38" s="35"/>
    </row>
    <row r="39" customFormat="false" ht="15" hidden="false" customHeight="false" outlineLevel="0" collapsed="false">
      <c r="A39" s="30" t="s">
        <v>9</v>
      </c>
      <c r="B39" s="30" t="s">
        <v>158</v>
      </c>
      <c r="C39" s="37" t="n">
        <v>1</v>
      </c>
      <c r="D39" s="36" t="n">
        <v>0</v>
      </c>
      <c r="E39" s="33" t="n">
        <f aca="false">C39*D39</f>
        <v>0</v>
      </c>
      <c r="F39" s="37" t="n">
        <v>1</v>
      </c>
      <c r="G39" s="36" t="n">
        <v>400</v>
      </c>
      <c r="H39" s="33" t="n">
        <f aca="false">F39*G39</f>
        <v>400</v>
      </c>
      <c r="I39" s="34"/>
      <c r="J39" s="35" t="s">
        <v>159</v>
      </c>
    </row>
    <row r="40" customFormat="false" ht="15" hidden="false" customHeight="false" outlineLevel="0" collapsed="false">
      <c r="A40" s="16" t="s">
        <v>10</v>
      </c>
      <c r="B40" s="16" t="s">
        <v>160</v>
      </c>
      <c r="C40" s="19" t="n">
        <v>50</v>
      </c>
      <c r="D40" s="29" t="n">
        <v>1.5</v>
      </c>
      <c r="E40" s="27" t="n">
        <f aca="false">C40*D40</f>
        <v>75</v>
      </c>
      <c r="F40" s="19" t="n">
        <v>150</v>
      </c>
      <c r="G40" s="29" t="n">
        <v>2</v>
      </c>
      <c r="H40" s="27" t="n">
        <f aca="false">F40*G40</f>
        <v>300</v>
      </c>
      <c r="I40" s="28"/>
      <c r="J40" s="18" t="s">
        <v>161</v>
      </c>
    </row>
    <row r="41" customFormat="false" ht="15" hidden="false" customHeight="false" outlineLevel="0" collapsed="false">
      <c r="A41" s="16" t="s">
        <v>10</v>
      </c>
      <c r="B41" s="16" t="s">
        <v>162</v>
      </c>
      <c r="C41" s="19" t="n">
        <v>75</v>
      </c>
      <c r="D41" s="29" t="n">
        <v>2.5</v>
      </c>
      <c r="E41" s="27" t="n">
        <f aca="false">C41*D41</f>
        <v>187.5</v>
      </c>
      <c r="F41" s="19" t="n">
        <v>200</v>
      </c>
      <c r="G41" s="29" t="n">
        <v>3.5</v>
      </c>
      <c r="H41" s="27" t="n">
        <f aca="false">F41*G41</f>
        <v>700</v>
      </c>
      <c r="I41" s="28"/>
      <c r="J41" s="18" t="s">
        <v>163</v>
      </c>
    </row>
    <row r="42" customFormat="false" ht="15" hidden="false" customHeight="false" outlineLevel="0" collapsed="false">
      <c r="A42" s="16" t="s">
        <v>10</v>
      </c>
      <c r="B42" s="16" t="s">
        <v>164</v>
      </c>
      <c r="C42" s="19" t="n">
        <v>2</v>
      </c>
      <c r="D42" s="29" t="n">
        <v>25</v>
      </c>
      <c r="E42" s="27" t="n">
        <f aca="false">C42*D42</f>
        <v>50</v>
      </c>
      <c r="F42" s="19" t="n">
        <v>6</v>
      </c>
      <c r="G42" s="29" t="n">
        <v>40</v>
      </c>
      <c r="H42" s="27" t="n">
        <f aca="false">F42*G42</f>
        <v>240</v>
      </c>
      <c r="I42" s="28"/>
      <c r="J42" s="18"/>
    </row>
    <row r="43" customFormat="false" ht="15" hidden="false" customHeight="false" outlineLevel="0" collapsed="false">
      <c r="A43" s="16" t="s">
        <v>10</v>
      </c>
      <c r="B43" s="16" t="s">
        <v>165</v>
      </c>
      <c r="C43" s="19" t="n">
        <v>1</v>
      </c>
      <c r="D43" s="29" t="n">
        <v>0</v>
      </c>
      <c r="E43" s="27" t="n">
        <f aca="false">C43*D43</f>
        <v>0</v>
      </c>
      <c r="F43" s="19" t="n">
        <v>1</v>
      </c>
      <c r="G43" s="29" t="n">
        <v>300</v>
      </c>
      <c r="H43" s="27" t="n">
        <f aca="false">F43*G43</f>
        <v>300</v>
      </c>
      <c r="I43" s="28"/>
      <c r="J43" s="18" t="s">
        <v>166</v>
      </c>
    </row>
    <row r="44" customFormat="false" ht="15" hidden="false" customHeight="false" outlineLevel="0" collapsed="false">
      <c r="A44" s="16" t="s">
        <v>10</v>
      </c>
      <c r="B44" s="16" t="s">
        <v>167</v>
      </c>
      <c r="C44" s="19" t="n">
        <v>1</v>
      </c>
      <c r="D44" s="29" t="n">
        <v>50</v>
      </c>
      <c r="E44" s="27" t="n">
        <f aca="false">C44*D44</f>
        <v>50</v>
      </c>
      <c r="F44" s="19" t="n">
        <v>1</v>
      </c>
      <c r="G44" s="29" t="n">
        <v>200</v>
      </c>
      <c r="H44" s="27" t="n">
        <f aca="false">F44*G44</f>
        <v>200</v>
      </c>
      <c r="I44" s="28"/>
      <c r="J44" s="18" t="s">
        <v>168</v>
      </c>
    </row>
    <row r="45" customFormat="false" ht="15" hidden="false" customHeight="false" outlineLevel="0" collapsed="false">
      <c r="A45" s="16" t="s">
        <v>10</v>
      </c>
      <c r="B45" s="16" t="s">
        <v>169</v>
      </c>
      <c r="C45" s="19" t="n">
        <v>1</v>
      </c>
      <c r="D45" s="29" t="n">
        <v>0</v>
      </c>
      <c r="E45" s="27" t="n">
        <f aca="false">C45*D45</f>
        <v>0</v>
      </c>
      <c r="F45" s="19" t="n">
        <v>1</v>
      </c>
      <c r="G45" s="29" t="n">
        <v>250</v>
      </c>
      <c r="H45" s="27" t="n">
        <f aca="false">F45*G45</f>
        <v>250</v>
      </c>
      <c r="I45" s="28"/>
      <c r="J45" s="18" t="s">
        <v>170</v>
      </c>
    </row>
    <row r="46" customFormat="false" ht="15" hidden="false" customHeight="false" outlineLevel="0" collapsed="false">
      <c r="A46" s="16" t="s">
        <v>10</v>
      </c>
      <c r="B46" s="16" t="s">
        <v>171</v>
      </c>
      <c r="C46" s="19" t="n">
        <v>1</v>
      </c>
      <c r="D46" s="29" t="n">
        <v>30</v>
      </c>
      <c r="E46" s="27" t="n">
        <f aca="false">C46*D46</f>
        <v>30</v>
      </c>
      <c r="F46" s="19" t="n">
        <v>1</v>
      </c>
      <c r="G46" s="29" t="n">
        <v>150</v>
      </c>
      <c r="H46" s="27" t="n">
        <f aca="false">F46*G46</f>
        <v>150</v>
      </c>
      <c r="I46" s="28"/>
      <c r="J46" s="18"/>
    </row>
    <row r="47" customFormat="false" ht="15" hidden="false" customHeight="false" outlineLevel="0" collapsed="false">
      <c r="A47" s="30" t="s">
        <v>11</v>
      </c>
      <c r="B47" s="30" t="s">
        <v>172</v>
      </c>
      <c r="C47" s="31" t="n">
        <f aca="false">Assumptions!$B$7+Assumptions!$B$12+Assumptions!$B$13</f>
        <v>133</v>
      </c>
      <c r="D47" s="32" t="n">
        <f aca="false">Assumptions!$B$14</f>
        <v>5</v>
      </c>
      <c r="E47" s="33" t="n">
        <f aca="false">C47*D47</f>
        <v>665</v>
      </c>
      <c r="F47" s="31" t="n">
        <f aca="false">Assumptions!$C$7+Assumptions!$C$12+Assumptions!$C$13</f>
        <v>249</v>
      </c>
      <c r="G47" s="32" t="n">
        <f aca="false">Assumptions!$C$14</f>
        <v>7</v>
      </c>
      <c r="H47" s="33" t="n">
        <f aca="false">F47*G47</f>
        <v>1743</v>
      </c>
      <c r="I47" s="34" t="s">
        <v>116</v>
      </c>
      <c r="J47" s="35" t="s">
        <v>173</v>
      </c>
    </row>
    <row r="48" customFormat="false" ht="15" hidden="false" customHeight="false" outlineLevel="0" collapsed="false">
      <c r="A48" s="30" t="s">
        <v>11</v>
      </c>
      <c r="B48" s="30" t="s">
        <v>174</v>
      </c>
      <c r="C48" s="31" t="n">
        <f aca="false">Assumptions!$B$12</f>
        <v>25</v>
      </c>
      <c r="D48" s="36" t="n">
        <v>4</v>
      </c>
      <c r="E48" s="33" t="n">
        <f aca="false">C48*D48</f>
        <v>100</v>
      </c>
      <c r="F48" s="31" t="n">
        <f aca="false">Assumptions!$C$12</f>
        <v>35</v>
      </c>
      <c r="G48" s="36" t="n">
        <v>6</v>
      </c>
      <c r="H48" s="33" t="n">
        <f aca="false">F48*G48</f>
        <v>210</v>
      </c>
      <c r="I48" s="34"/>
      <c r="J48" s="35"/>
    </row>
    <row r="49" customFormat="false" ht="15" hidden="false" customHeight="false" outlineLevel="0" collapsed="false">
      <c r="A49" s="30" t="s">
        <v>11</v>
      </c>
      <c r="B49" s="30" t="s">
        <v>175</v>
      </c>
      <c r="C49" s="37" t="n">
        <v>1</v>
      </c>
      <c r="D49" s="36" t="n">
        <v>120</v>
      </c>
      <c r="E49" s="33" t="n">
        <f aca="false">C49*D49</f>
        <v>120</v>
      </c>
      <c r="F49" s="37" t="n">
        <v>1</v>
      </c>
      <c r="G49" s="36" t="n">
        <v>250</v>
      </c>
      <c r="H49" s="33" t="n">
        <f aca="false">F49*G49</f>
        <v>250</v>
      </c>
      <c r="I49" s="34"/>
      <c r="J49" s="35" t="s">
        <v>176</v>
      </c>
    </row>
    <row r="50" customFormat="false" ht="15" hidden="false" customHeight="false" outlineLevel="0" collapsed="false">
      <c r="A50" s="30" t="s">
        <v>11</v>
      </c>
      <c r="B50" s="30" t="s">
        <v>177</v>
      </c>
      <c r="C50" s="37" t="n">
        <v>1</v>
      </c>
      <c r="D50" s="36" t="n">
        <v>40</v>
      </c>
      <c r="E50" s="33" t="n">
        <f aca="false">C50*D50</f>
        <v>40</v>
      </c>
      <c r="F50" s="37" t="n">
        <v>1</v>
      </c>
      <c r="G50" s="36" t="n">
        <v>80</v>
      </c>
      <c r="H50" s="33" t="n">
        <f aca="false">F50*G50</f>
        <v>80</v>
      </c>
      <c r="I50" s="34"/>
      <c r="J50" s="35"/>
    </row>
    <row r="51" customFormat="false" ht="15" hidden="false" customHeight="false" outlineLevel="0" collapsed="false">
      <c r="A51" s="16" t="s">
        <v>12</v>
      </c>
      <c r="B51" s="16" t="s">
        <v>178</v>
      </c>
      <c r="C51" s="19" t="n">
        <v>1</v>
      </c>
      <c r="D51" s="29" t="n">
        <v>150</v>
      </c>
      <c r="E51" s="27" t="n">
        <f aca="false">C51*D51</f>
        <v>150</v>
      </c>
      <c r="F51" s="19" t="n">
        <v>1</v>
      </c>
      <c r="G51" s="29" t="n">
        <v>300</v>
      </c>
      <c r="H51" s="27" t="n">
        <f aca="false">F51*G51</f>
        <v>300</v>
      </c>
      <c r="I51" s="28"/>
      <c r="J51" s="18" t="s">
        <v>179</v>
      </c>
    </row>
    <row r="52" customFormat="false" ht="15" hidden="false" customHeight="false" outlineLevel="0" collapsed="false">
      <c r="A52" s="16" t="s">
        <v>12</v>
      </c>
      <c r="B52" s="16" t="s">
        <v>180</v>
      </c>
      <c r="C52" s="19" t="n">
        <v>4</v>
      </c>
      <c r="D52" s="29" t="n">
        <v>25</v>
      </c>
      <c r="E52" s="27" t="n">
        <f aca="false">C52*D52</f>
        <v>100</v>
      </c>
      <c r="F52" s="19" t="n">
        <v>4</v>
      </c>
      <c r="G52" s="29" t="n">
        <v>60</v>
      </c>
      <c r="H52" s="27" t="n">
        <f aca="false">F52*G52</f>
        <v>240</v>
      </c>
      <c r="I52" s="28" t="s">
        <v>116</v>
      </c>
      <c r="J52" s="18" t="s">
        <v>181</v>
      </c>
    </row>
    <row r="53" customFormat="false" ht="15" hidden="false" customHeight="false" outlineLevel="0" collapsed="false">
      <c r="A53" s="16" t="s">
        <v>12</v>
      </c>
      <c r="B53" s="16" t="s">
        <v>86</v>
      </c>
      <c r="C53" s="25" t="n">
        <f aca="false">Assumptions!$B$29</f>
        <v>30</v>
      </c>
      <c r="D53" s="29" t="n">
        <v>12</v>
      </c>
      <c r="E53" s="27" t="n">
        <f aca="false">C53*D53</f>
        <v>360</v>
      </c>
      <c r="F53" s="25" t="n">
        <f aca="false">Assumptions!$C$29</f>
        <v>60</v>
      </c>
      <c r="G53" s="29" t="n">
        <v>16</v>
      </c>
      <c r="H53" s="27" t="n">
        <f aca="false">F53*G53</f>
        <v>960</v>
      </c>
      <c r="I53" s="28"/>
      <c r="J53" s="18"/>
    </row>
    <row r="54" customFormat="false" ht="15" hidden="false" customHeight="false" outlineLevel="0" collapsed="false">
      <c r="A54" s="16" t="s">
        <v>12</v>
      </c>
      <c r="B54" s="16" t="s">
        <v>182</v>
      </c>
      <c r="C54" s="19" t="n">
        <v>1</v>
      </c>
      <c r="D54" s="29" t="n">
        <v>50</v>
      </c>
      <c r="E54" s="27" t="n">
        <f aca="false">C54*D54</f>
        <v>50</v>
      </c>
      <c r="F54" s="19" t="n">
        <v>1</v>
      </c>
      <c r="G54" s="29" t="n">
        <v>200</v>
      </c>
      <c r="H54" s="27" t="n">
        <f aca="false">F54*G54</f>
        <v>200</v>
      </c>
      <c r="I54" s="28"/>
      <c r="J54" s="18" t="s">
        <v>183</v>
      </c>
    </row>
    <row r="55" customFormat="false" ht="15" hidden="false" customHeight="false" outlineLevel="0" collapsed="false">
      <c r="A55" s="30" t="s">
        <v>13</v>
      </c>
      <c r="B55" s="30" t="s">
        <v>184</v>
      </c>
      <c r="C55" s="37" t="n">
        <v>1</v>
      </c>
      <c r="D55" s="36" t="n">
        <v>300</v>
      </c>
      <c r="E55" s="33" t="n">
        <f aca="false">C55*D55</f>
        <v>300</v>
      </c>
      <c r="F55" s="37" t="n">
        <v>1</v>
      </c>
      <c r="G55" s="36" t="n">
        <v>600</v>
      </c>
      <c r="H55" s="33" t="n">
        <f aca="false">F55*G55</f>
        <v>600</v>
      </c>
      <c r="I55" s="34"/>
      <c r="J55" s="35" t="s">
        <v>185</v>
      </c>
    </row>
    <row r="56" customFormat="false" ht="15" hidden="false" customHeight="false" outlineLevel="0" collapsed="false">
      <c r="A56" s="30" t="s">
        <v>13</v>
      </c>
      <c r="B56" s="30" t="s">
        <v>186</v>
      </c>
      <c r="C56" s="37" t="n">
        <v>1</v>
      </c>
      <c r="D56" s="36" t="n">
        <v>100</v>
      </c>
      <c r="E56" s="33" t="n">
        <f aca="false">C56*D56</f>
        <v>100</v>
      </c>
      <c r="F56" s="37" t="n">
        <v>1</v>
      </c>
      <c r="G56" s="36" t="n">
        <v>300</v>
      </c>
      <c r="H56" s="33" t="n">
        <f aca="false">F56*G56</f>
        <v>300</v>
      </c>
      <c r="I56" s="34"/>
      <c r="J56" s="35" t="s">
        <v>187</v>
      </c>
    </row>
    <row r="57" customFormat="false" ht="15" hidden="false" customHeight="false" outlineLevel="0" collapsed="false">
      <c r="A57" s="30" t="s">
        <v>13</v>
      </c>
      <c r="B57" s="30" t="s">
        <v>188</v>
      </c>
      <c r="C57" s="37" t="n">
        <v>2</v>
      </c>
      <c r="D57" s="36" t="n">
        <v>40</v>
      </c>
      <c r="E57" s="33" t="n">
        <f aca="false">C57*D57</f>
        <v>80</v>
      </c>
      <c r="F57" s="37" t="n">
        <v>3</v>
      </c>
      <c r="G57" s="36" t="n">
        <v>60</v>
      </c>
      <c r="H57" s="33" t="n">
        <f aca="false">F57*G57</f>
        <v>180</v>
      </c>
      <c r="I57" s="34"/>
      <c r="J57" s="35"/>
    </row>
    <row r="58" customFormat="false" ht="15" hidden="false" customHeight="false" outlineLevel="0" collapsed="false">
      <c r="A58" s="30" t="s">
        <v>13</v>
      </c>
      <c r="B58" s="30" t="s">
        <v>189</v>
      </c>
      <c r="C58" s="31" t="n">
        <f aca="false">Assumptions!$B$12</f>
        <v>25</v>
      </c>
      <c r="D58" s="36" t="n">
        <v>0</v>
      </c>
      <c r="E58" s="33" t="n">
        <f aca="false">C58*D58</f>
        <v>0</v>
      </c>
      <c r="F58" s="31" t="n">
        <f aca="false">Assumptions!$C$12</f>
        <v>35</v>
      </c>
      <c r="G58" s="36" t="n">
        <v>15</v>
      </c>
      <c r="H58" s="33" t="n">
        <f aca="false">F58*G58</f>
        <v>525</v>
      </c>
      <c r="I58" s="34"/>
      <c r="J58" s="35" t="s">
        <v>190</v>
      </c>
    </row>
    <row r="59" customFormat="false" ht="15" hidden="false" customHeight="false" outlineLevel="0" collapsed="false">
      <c r="A59" s="2"/>
      <c r="B59" s="8" t="s">
        <v>191</v>
      </c>
      <c r="C59" s="2"/>
      <c r="D59" s="2"/>
      <c r="E59" s="11" t="n">
        <f aca="false">SUM(E5:E58)</f>
        <v>11457.7</v>
      </c>
      <c r="F59" s="2"/>
      <c r="G59" s="2"/>
      <c r="H59" s="11" t="n">
        <f aca="false">SUM(H5:H58)</f>
        <v>43243.9</v>
      </c>
      <c r="I59" s="2"/>
      <c r="J5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62"/>
  </cols>
  <sheetData>
    <row r="1" customFormat="false" ht="17.35" hidden="false" customHeight="false" outlineLevel="0" collapsed="false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193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23.85" hidden="false" customHeight="false" outlineLevel="0" collapsed="false">
      <c r="A4" s="4" t="s">
        <v>194</v>
      </c>
      <c r="B4" s="4" t="s">
        <v>195</v>
      </c>
      <c r="C4" s="4" t="s">
        <v>196</v>
      </c>
      <c r="D4" s="4" t="s">
        <v>197</v>
      </c>
      <c r="E4" s="4" t="s">
        <v>198</v>
      </c>
      <c r="F4" s="4" t="s">
        <v>199</v>
      </c>
      <c r="G4" s="4" t="s">
        <v>200</v>
      </c>
      <c r="H4" s="4" t="s">
        <v>201</v>
      </c>
      <c r="I4" s="4" t="s">
        <v>202</v>
      </c>
      <c r="J4" s="4" t="s">
        <v>203</v>
      </c>
    </row>
    <row r="5" customFormat="false" ht="15" hidden="false" customHeight="false" outlineLevel="0" collapsed="false">
      <c r="A5" s="16" t="s">
        <v>204</v>
      </c>
      <c r="B5" s="16" t="s">
        <v>205</v>
      </c>
      <c r="C5" s="28" t="s">
        <v>206</v>
      </c>
      <c r="D5" s="38" t="n">
        <f aca="false">Assumptions!$B$5*Assumptions!$B$15*(1-Assumptions!$B$16)</f>
        <v>360</v>
      </c>
      <c r="E5" s="38" t="n">
        <f aca="false">Assumptions!$C$5*Assumptions!$C$15*(1-Assumptions!$C$16)</f>
        <v>480</v>
      </c>
      <c r="F5" s="24" t="n">
        <v>1</v>
      </c>
      <c r="G5" s="27" t="n">
        <f aca="false">E5*F5</f>
        <v>480</v>
      </c>
      <c r="H5" s="27" t="n">
        <f aca="false">D5*F5</f>
        <v>360</v>
      </c>
      <c r="I5" s="16" t="s">
        <v>207</v>
      </c>
      <c r="J5" s="18" t="s">
        <v>208</v>
      </c>
    </row>
    <row r="6" customFormat="false" ht="15" hidden="false" customHeight="false" outlineLevel="0" collapsed="false">
      <c r="A6" s="16" t="s">
        <v>209</v>
      </c>
      <c r="B6" s="16" t="s">
        <v>210</v>
      </c>
      <c r="C6" s="28" t="s">
        <v>211</v>
      </c>
      <c r="D6" s="39" t="n">
        <v>5000</v>
      </c>
      <c r="E6" s="39" t="n">
        <v>7500</v>
      </c>
      <c r="F6" s="24" t="n">
        <v>0.5</v>
      </c>
      <c r="G6" s="27" t="n">
        <f aca="false">E6*F6</f>
        <v>3750</v>
      </c>
      <c r="H6" s="27" t="n">
        <f aca="false">D6*F6</f>
        <v>2500</v>
      </c>
      <c r="I6" s="16" t="s">
        <v>212</v>
      </c>
      <c r="J6" s="18" t="s">
        <v>213</v>
      </c>
    </row>
    <row r="7" customFormat="false" ht="15" hidden="false" customHeight="false" outlineLevel="0" collapsed="false">
      <c r="A7" s="16" t="s">
        <v>214</v>
      </c>
      <c r="B7" s="16" t="s">
        <v>210</v>
      </c>
      <c r="C7" s="28" t="s">
        <v>211</v>
      </c>
      <c r="D7" s="39" t="n">
        <v>5000</v>
      </c>
      <c r="E7" s="39" t="n">
        <v>7500</v>
      </c>
      <c r="F7" s="24" t="n">
        <v>0.5</v>
      </c>
      <c r="G7" s="27" t="n">
        <f aca="false">E7*F7</f>
        <v>3750</v>
      </c>
      <c r="H7" s="27" t="n">
        <f aca="false">D7*F7</f>
        <v>2500</v>
      </c>
      <c r="I7" s="16" t="s">
        <v>215</v>
      </c>
      <c r="J7" s="18" t="s">
        <v>216</v>
      </c>
    </row>
    <row r="8" customFormat="false" ht="15" hidden="false" customHeight="false" outlineLevel="0" collapsed="false">
      <c r="A8" s="16" t="s">
        <v>217</v>
      </c>
      <c r="B8" s="16" t="s">
        <v>210</v>
      </c>
      <c r="C8" s="28" t="s">
        <v>211</v>
      </c>
      <c r="D8" s="39" t="n">
        <v>1000</v>
      </c>
      <c r="E8" s="39" t="n">
        <v>2500</v>
      </c>
      <c r="F8" s="24" t="n">
        <v>0.6</v>
      </c>
      <c r="G8" s="27" t="n">
        <f aca="false">E8*F8</f>
        <v>1500</v>
      </c>
      <c r="H8" s="27" t="n">
        <f aca="false">D8*F8</f>
        <v>600</v>
      </c>
      <c r="I8" s="16" t="s">
        <v>218</v>
      </c>
      <c r="J8" s="18" t="s">
        <v>219</v>
      </c>
    </row>
    <row r="9" customFormat="false" ht="15" hidden="false" customHeight="false" outlineLevel="0" collapsed="false">
      <c r="A9" s="16" t="s">
        <v>220</v>
      </c>
      <c r="B9" s="16" t="s">
        <v>210</v>
      </c>
      <c r="C9" s="28" t="s">
        <v>211</v>
      </c>
      <c r="D9" s="39" t="n">
        <v>1000</v>
      </c>
      <c r="E9" s="39" t="n">
        <v>2000</v>
      </c>
      <c r="F9" s="24" t="n">
        <v>0.5</v>
      </c>
      <c r="G9" s="27" t="n">
        <f aca="false">E9*F9</f>
        <v>1000</v>
      </c>
      <c r="H9" s="27" t="n">
        <f aca="false">D9*F9</f>
        <v>500</v>
      </c>
      <c r="I9" s="16" t="s">
        <v>221</v>
      </c>
      <c r="J9" s="18" t="s">
        <v>222</v>
      </c>
    </row>
    <row r="10" customFormat="false" ht="15" hidden="false" customHeight="false" outlineLevel="0" collapsed="false">
      <c r="A10" s="16" t="s">
        <v>223</v>
      </c>
      <c r="B10" s="16" t="s">
        <v>224</v>
      </c>
      <c r="C10" s="28" t="s">
        <v>211</v>
      </c>
      <c r="D10" s="39" t="n">
        <v>2500</v>
      </c>
      <c r="E10" s="39" t="n">
        <v>5000</v>
      </c>
      <c r="F10" s="24" t="n">
        <v>0.5</v>
      </c>
      <c r="G10" s="27" t="n">
        <f aca="false">E10*F10</f>
        <v>2500</v>
      </c>
      <c r="H10" s="27" t="n">
        <f aca="false">D10*F10</f>
        <v>1250</v>
      </c>
      <c r="I10" s="16" t="s">
        <v>225</v>
      </c>
      <c r="J10" s="18" t="s">
        <v>226</v>
      </c>
    </row>
    <row r="11" customFormat="false" ht="15" hidden="false" customHeight="false" outlineLevel="0" collapsed="false">
      <c r="A11" s="16" t="s">
        <v>227</v>
      </c>
      <c r="B11" s="16" t="s">
        <v>210</v>
      </c>
      <c r="C11" s="28" t="s">
        <v>228</v>
      </c>
      <c r="D11" s="39" t="n">
        <v>3000</v>
      </c>
      <c r="E11" s="39" t="n">
        <v>5000</v>
      </c>
      <c r="F11" s="24" t="n">
        <v>0.4</v>
      </c>
      <c r="G11" s="27" t="n">
        <f aca="false">E11*F11</f>
        <v>2000</v>
      </c>
      <c r="H11" s="27" t="n">
        <f aca="false">D11*F11</f>
        <v>1200</v>
      </c>
      <c r="I11" s="16" t="s">
        <v>229</v>
      </c>
      <c r="J11" s="18" t="s">
        <v>230</v>
      </c>
    </row>
    <row r="12" customFormat="false" ht="15" hidden="false" customHeight="false" outlineLevel="0" collapsed="false">
      <c r="A12" s="16" t="s">
        <v>231</v>
      </c>
      <c r="B12" s="16" t="s">
        <v>232</v>
      </c>
      <c r="C12" s="28" t="s">
        <v>211</v>
      </c>
      <c r="D12" s="38" t="n">
        <f aca="false">Budget!$E$9</f>
        <v>4704</v>
      </c>
      <c r="E12" s="38" t="n">
        <f aca="false">Budget!$H$9</f>
        <v>11760</v>
      </c>
      <c r="F12" s="24" t="n">
        <v>0.7</v>
      </c>
      <c r="G12" s="27" t="n">
        <f aca="false">E12*F12</f>
        <v>8232</v>
      </c>
      <c r="H12" s="27" t="n">
        <f aca="false">D12*F12</f>
        <v>3292.8</v>
      </c>
      <c r="I12" s="16" t="s">
        <v>233</v>
      </c>
      <c r="J12" s="18" t="s">
        <v>234</v>
      </c>
    </row>
    <row r="13" customFormat="false" ht="15" hidden="false" customHeight="false" outlineLevel="0" collapsed="false">
      <c r="A13" s="16" t="s">
        <v>235</v>
      </c>
      <c r="B13" s="16" t="s">
        <v>232</v>
      </c>
      <c r="C13" s="28" t="s">
        <v>236</v>
      </c>
      <c r="D13" s="38" t="n">
        <f aca="false">MIN(5000,0.5*Budget!$E$10)</f>
        <v>0</v>
      </c>
      <c r="E13" s="38" t="n">
        <f aca="false">MIN(5000,0.5*Budget!$H$10)</f>
        <v>4939.2</v>
      </c>
      <c r="F13" s="24" t="n">
        <v>0.5</v>
      </c>
      <c r="G13" s="27" t="n">
        <f aca="false">E13*F13</f>
        <v>2469.6</v>
      </c>
      <c r="H13" s="27" t="n">
        <f aca="false">D13*F13</f>
        <v>0</v>
      </c>
      <c r="I13" s="16" t="s">
        <v>237</v>
      </c>
      <c r="J13" s="18" t="s">
        <v>238</v>
      </c>
    </row>
    <row r="14" customFormat="false" ht="15" hidden="false" customHeight="false" outlineLevel="0" collapsed="false">
      <c r="A14" s="16" t="s">
        <v>239</v>
      </c>
      <c r="B14" s="16" t="s">
        <v>240</v>
      </c>
      <c r="C14" s="28" t="s">
        <v>241</v>
      </c>
      <c r="D14" s="39" t="n">
        <v>1500</v>
      </c>
      <c r="E14" s="39" t="n">
        <v>3000</v>
      </c>
      <c r="F14" s="24" t="n">
        <v>0.6</v>
      </c>
      <c r="G14" s="27" t="n">
        <f aca="false">E14*F14</f>
        <v>1800</v>
      </c>
      <c r="H14" s="27" t="n">
        <f aca="false">D14*F14</f>
        <v>900</v>
      </c>
      <c r="I14" s="16" t="s">
        <v>242</v>
      </c>
      <c r="J14" s="18" t="s">
        <v>243</v>
      </c>
    </row>
    <row r="15" customFormat="false" ht="15" hidden="false" customHeight="false" outlineLevel="0" collapsed="false">
      <c r="A15" s="8" t="s">
        <v>244</v>
      </c>
      <c r="B15" s="2"/>
      <c r="C15" s="2"/>
      <c r="D15" s="11" t="n">
        <f aca="false">SUM(D5:D14)</f>
        <v>24064</v>
      </c>
      <c r="E15" s="11" t="n">
        <f aca="false">SUM(E5:E14)</f>
        <v>49679.2</v>
      </c>
      <c r="F15" s="2"/>
      <c r="G15" s="11" t="n">
        <f aca="false">SUM(G5:G14)</f>
        <v>27481.6</v>
      </c>
      <c r="H15" s="11" t="n">
        <f aca="false">SUM(H5:H14)</f>
        <v>13102.8</v>
      </c>
      <c r="I15" s="2"/>
      <c r="J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s">
        <v>245</v>
      </c>
      <c r="B17" s="2"/>
      <c r="C17" s="2"/>
      <c r="D17" s="2"/>
      <c r="E17" s="2"/>
      <c r="F17" s="2"/>
      <c r="G17" s="2"/>
      <c r="H17" s="2"/>
      <c r="I17" s="2"/>
      <c r="J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2026-10-18T23:17:23Z</dcterms:created>
  <dc:creator>openpyxl</dc:creator>
  <dc:description/>
  <dc:language>en-US</dc:language>
  <cp:lastModifiedBy/>
  <dcterms:modified xsi:type="dcterms:W3CDTF">2026-10-18T23:17:23Z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