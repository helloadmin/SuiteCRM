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gister" sheetId="2" state="visible" r:id="rId4"/>
  </sheets>
  <definedNames>
    <definedName function="false" hidden="true" localSheetId="1" name="_xlnm._FilterDatabase" vbProcedure="false">Register!$A$4:$O$30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<sst xmlns="http://schemas.openxmlformats.org/spreadsheetml/2006/main" count="277" uniqueCount="200">
  <si>
    <t xml:space="preserve">Funding Strategy Summary</t>
  </si>
  <si>
    <t xml:space="preserve">Totals recalculate from the Register sheet. Season One = 2027 event; Season Two = 2028; Partner route = needs a charity or arts partner.</t>
  </si>
  <si>
    <t xml:space="preserve">Season</t>
  </si>
  <si>
    <t xml:space="preserve">Sources</t>
  </si>
  <si>
    <t xml:space="preserve">Total ask ($)</t>
  </si>
  <si>
    <t xml:space="preserve">Expected ($)</t>
  </si>
  <si>
    <t xml:space="preserve">Season One</t>
  </si>
  <si>
    <t xml:space="preserve">Season Two</t>
  </si>
  <si>
    <t xml:space="preserve">Partner route</t>
  </si>
  <si>
    <t xml:space="preserve">All sources</t>
  </si>
  <si>
    <t xml:space="preserve">Season One focus areas</t>
  </si>
  <si>
    <t xml:space="preserve">Students</t>
  </si>
  <si>
    <t xml:space="preserve">Arts &amp; culture</t>
  </si>
  <si>
    <t xml:space="preserve">Community</t>
  </si>
  <si>
    <t xml:space="preserve">Youth-led</t>
  </si>
  <si>
    <t xml:space="preserve">Season One Target budget (from the budget workbook)</t>
  </si>
  <si>
    <t xml:space="preserve">Season One expected outside funding</t>
  </si>
  <si>
    <t xml:space="preserve">Shortfall to be covered by the McKenzie Towne Council partnership</t>
  </si>
  <si>
    <t xml:space="preserve">Why 'expected' is far below 'ask': most funders won't give the full amount, and some won't fund us at all. Expected = Ask × chance of success × share typically awarded.</t>
  </si>
  <si>
    <t xml:space="preserve">Asking for the maximum needs a budget that justifies it. Several funders cap their share (e.g. City Tier 2 ≤ 50%, AFA ≤ 65%, Alberta government total ≤ 50%) and ask about other funding.</t>
  </si>
  <si>
    <t xml:space="preserve">If more arrives than Season One needs, the surplus scales the production up or is held, with funders' permission, for Season Two. The Council's match-contingent funds are then simply not drawn.</t>
  </si>
  <si>
    <t xml:space="preserve">Alberta Culture Days (up to $10,000) only applies if race weekend moves into September (3+ event days: Cubs' Quest, race night, premiere). Set its chance to 0% if the date stays in August.</t>
  </si>
  <si>
    <t xml:space="preserve">Charity-only funders (TELUS, Calgary Foundation Community Grants, Flames, Burns) need a registered-charity partner, such as a local church, school foundation or youth charity.</t>
  </si>
  <si>
    <t xml:space="preserve">Funding Opportunities Register: The Wolf of McKenzie Towne</t>
  </si>
  <si>
    <t xml:space="preserve">Strategy: apply to every eligible source for its maximum. Expected = Ask × chance of success × share of ask typically awarded. Blue = editable inputs; yellow = judgement calls. Researched 20 October 2026; confirm every figure on the funder's own site.</t>
  </si>
  <si>
    <t xml:space="preserve">#</t>
  </si>
  <si>
    <t xml:space="preserve">Funder / program</t>
  </si>
  <si>
    <t xml:space="preserve">Level</t>
  </si>
  <si>
    <t xml:space="preserve">Focus</t>
  </si>
  <si>
    <t xml:space="preserve">Who can apply</t>
  </si>
  <si>
    <t xml:space="preserve">Maximum available ($)</t>
  </si>
  <si>
    <t xml:space="preserve">Our ask ($)</t>
  </si>
  <si>
    <t xml:space="preserve">Match / cost-share rule</t>
  </si>
  <si>
    <t xml:space="preserve">Chance of success</t>
  </si>
  <si>
    <t xml:space="preserve">Share of ask awarded</t>
  </si>
  <si>
    <t xml:space="preserve">Deadline / timing</t>
  </si>
  <si>
    <t xml:space="preserve">Next action</t>
  </si>
  <si>
    <t xml:space="preserve">Source</t>
  </si>
  <si>
    <t xml:space="preserve">Canada Summer Jobs (2 summer production assistants, up to 16 weeks)</t>
  </si>
  <si>
    <t xml:space="preserve">Federal</t>
  </si>
  <si>
    <t xml:space="preserve">Non-profit with CRA business number</t>
  </si>
  <si>
    <t xml:space="preserve">Non-profits: up to 100% of minimum wage + employment costs</t>
  </si>
  <si>
    <t xml:space="preserve">Opens 27 Oct 2026 (expected); closes ~3 Dec 2026</t>
  </si>
  <si>
    <t xml:space="preserve">Apply on opening day; request the full 16 weeks for both positions</t>
  </si>
  <si>
    <t xml:space="preserve">https://www.canada.ca/en/employment-social-development/services/funding/canada-summer-jobs.html</t>
  </si>
  <si>
    <t xml:space="preserve">Student Work Placement Program (co-op wage subsidy)</t>
  </si>
  <si>
    <t xml:space="preserve">Employer of a post-secondary co-op student</t>
  </si>
  <si>
    <t xml:space="preserve">50% of wages up to $5,000; 70% up to $7,000 for under-represented students</t>
  </si>
  <si>
    <t xml:space="preserve">Year-round via delivery partners; first come</t>
  </si>
  <si>
    <t xml:space="preserve">Pick a delivery partner whose stream accepts marketing/event roles</t>
  </si>
  <si>
    <t xml:space="preserve">https://grantcompass.ca/student-work-placement-program-guide</t>
  </si>
  <si>
    <t xml:space="preserve">Riipen Level UP (student project stipends, paid by Riipen)</t>
  </si>
  <si>
    <t xml:space="preserve">Federal-funded</t>
  </si>
  <si>
    <t xml:space="preserve">Any organization (free)</t>
  </si>
  <si>
    <t xml:space="preserve">None. Riipen pays each student $1,400 directly (not cash to us)</t>
  </si>
  <si>
    <t xml:space="preserve">Cohorts: 26 Oct–18 Dec 2026; 25 Jan–19 Mar 2027</t>
  </si>
  <si>
    <t xml:space="preserve">Post 2 projects (sponsor deck, social campaign) for the January cohort</t>
  </si>
  <si>
    <t xml:space="preserve">https://help.riipen.com/en/articles/11140694-level-up-cohort-breakdown</t>
  </si>
  <si>
    <t xml:space="preserve">Good Places (Federation of Calgary Communities)</t>
  </si>
  <si>
    <t xml:space="preserve">Municipal / Federation</t>
  </si>
  <si>
    <t xml:space="preserve">Federation members; community associations get priority</t>
  </si>
  <si>
    <t xml:space="preserve">None stated</t>
  </si>
  <si>
    <t xml:space="preserve">Last 2026 round closes 30 Oct 2026</t>
  </si>
  <si>
    <t xml:space="preserve">Apply now through a member community association, at the maximum</t>
  </si>
  <si>
    <t xml:space="preserve">https://goodplaces.calgarycommunities.com/grants/</t>
  </si>
  <si>
    <t xml:space="preserve">Navacord Action Grants (Federation of Calgary Communities)</t>
  </si>
  <si>
    <t xml:space="preserve">Federation members</t>
  </si>
  <si>
    <t xml:space="preserve">Reimbursement grant</t>
  </si>
  <si>
    <t xml:space="preserve">Closes 31 Oct 2026</t>
  </si>
  <si>
    <t xml:space="preserve">Quick application via the member association</t>
  </si>
  <si>
    <t xml:space="preserve">https://calgarycommunities.com/navacord-action-grants/</t>
  </si>
  <si>
    <t xml:space="preserve">Neighbour Grants (Calgary Foundation)</t>
  </si>
  <si>
    <t xml:space="preserve">Foundation</t>
  </si>
  <si>
    <t xml:space="preserve">Non-profits and charities (informal groups by discussion)</t>
  </si>
  <si>
    <t xml:space="preserve">None stated; artist fees eligible</t>
  </si>
  <si>
    <t xml:space="preserve">Next deadline listed 9 Nov 2026 (confirm)</t>
  </si>
  <si>
    <t xml:space="preserve">Call the Foundation, then apply at $10,000</t>
  </si>
  <si>
    <t xml:space="preserve">https://calgaryfoundation.org/charities/grants/grassroots-grants/neighbour-grants/</t>
  </si>
  <si>
    <t xml:space="preserve">Jim Button Youth Grant (Youth Central)</t>
  </si>
  <si>
    <t xml:space="preserve">Youth aged 12–18 (non-profit partner if no legal status)</t>
  </si>
  <si>
    <t xml:space="preserve">Cycle 1 closes 28 Oct 2026</t>
  </si>
  <si>
    <t xml:space="preserve">Youth Race Council applies, with the community association as partner</t>
  </si>
  <si>
    <t xml:space="preserve">https://youthcentral.com/program/grants/</t>
  </si>
  <si>
    <t xml:space="preserve">Ward 12 Community Event Fund (City of Calgary)</t>
  </si>
  <si>
    <t xml:space="preserve">Municipal</t>
  </si>
  <si>
    <t xml:space="preserve">Non-profits with their own bank account</t>
  </si>
  <si>
    <t xml:space="preserve">None. The councillor's annual pool is up to $20,000; first come, first served</t>
  </si>
  <si>
    <t xml:space="preserve">2027 applications open 15 Dec 2026</t>
  </si>
  <si>
    <t xml:space="preserve">Brief Councillor Jamieson's office in November; apply on 15 Dec</t>
  </si>
  <si>
    <t xml:space="preserve">https://www.calgary.ca/council/wardcommunityeventfund.html</t>
  </si>
  <si>
    <t xml:space="preserve">Inspiring Neighbourhoods Grant (City of Calgary)</t>
  </si>
  <si>
    <t xml:space="preserve">Community-based non-profits</t>
  </si>
  <si>
    <t xml:space="preserve">Applicant must match the full request (cash or eligible in-kind)</t>
  </si>
  <si>
    <t xml:space="preserve">Rolling, 2026 round open</t>
  </si>
  <si>
    <t xml:space="preserve">Apply under placemaking ($12,000–$15,000 cap) or engagement ($10,000); confirm category</t>
  </si>
  <si>
    <t xml:space="preserve">https://www.calgary.ca/social-services/funding/inspiring-neighbourhoods.html</t>
  </si>
  <si>
    <t xml:space="preserve">Arts &amp; Culture Microgrant, Tier 2 (City of Calgary)</t>
  </si>
  <si>
    <t xml:space="preserve">Non-profits incl. community associations</t>
  </si>
  <si>
    <t xml:space="preserve">Covers up to 50% of project cost (Tier 1: up to $5,000 at 100%)</t>
  </si>
  <si>
    <t xml:space="preserve">2027 intake expected ~March (unconfirmed)</t>
  </si>
  <si>
    <t xml:space="preserve">Frame the theatre production as the arts project; build a matching arts budget</t>
  </si>
  <si>
    <t xml:space="preserve">https://www.calgary.ca/arts-culture/microgrant.html</t>
  </si>
  <si>
    <t xml:space="preserve">AFA Arts Presenting Project Funding (Alberta Foundation for the Arts)</t>
  </si>
  <si>
    <t xml:space="preserve">Provincial</t>
  </si>
  <si>
    <t xml:space="preserve">Alberta non-profits presenting professional artists</t>
  </si>
  <si>
    <t xml:space="preserve">Up to 65% of project cost; cap unconfirmed (one AFA page lists $20,000)</t>
  </si>
  <si>
    <t xml:space="preserve">1 Dec 2026</t>
  </si>
  <si>
    <t xml:space="preserve">Present professional performers (e.g. Wagonstage) as the arts-presenting element</t>
  </si>
  <si>
    <t xml:space="preserve">https://hellodarwin.com/business-aid/programs/afa-arts-presenting-project-funding</t>
  </si>
  <si>
    <t xml:space="preserve">Alberta Community Initiatives Program (CIP) Project Grant</t>
  </si>
  <si>
    <t xml:space="preserve">Alberta non-profits, registered 1+ year</t>
  </si>
  <si>
    <t xml:space="preserve">Applicant must match at least the request; volunteer labour counts at $20–$40/hr; provincial share ≤ 50%</t>
  </si>
  <si>
    <t xml:space="preserve">15 Feb 2027 intake (decision ~Aug 2027); also 15 Aug 2027</t>
  </si>
  <si>
    <t xml:space="preserve">Apply 15 Feb 2027 at the maximum; if late, re-apply 15 Aug 2027 for Season Two</t>
  </si>
  <si>
    <t xml:space="preserve">https://www.alberta.ca/cip-project-grant</t>
  </si>
  <si>
    <t xml:space="preserve">Alberta Culture Days Grant (Feature Site)</t>
  </si>
  <si>
    <t xml:space="preserve">Alberta registered non-profits</t>
  </si>
  <si>
    <t xml:space="preserve">Free, family-friendly arts event with 3+ event days in September</t>
  </si>
  <si>
    <t xml:space="preserve">~March 2027 (2026 deadline was 15 Mar)</t>
  </si>
  <si>
    <t xml:space="preserve">Only if race weekend moves into September; see note on Summary</t>
  </si>
  <si>
    <t xml:space="preserve">https://www.alberta.ca/alberta-culture-days-grant</t>
  </si>
  <si>
    <t xml:space="preserve">Brookfield Residential (community's original developer)</t>
  </si>
  <si>
    <t xml:space="preserve">Corporate</t>
  </si>
  <si>
    <t xml:space="preserve">Sponsorship request</t>
  </si>
  <si>
    <t xml:space="preserve">Sponsorship recognition</t>
  </si>
  <si>
    <t xml:space="preserve">Ask Jan–Mar 2027</t>
  </si>
  <si>
    <t xml:space="preserve">Pitch the Presenting Sponsor tier; the village legacy story fits their brand</t>
  </si>
  <si>
    <t xml:space="preserve">https://www.brookfieldresidential.com/</t>
  </si>
  <si>
    <t xml:space="preserve">High Street merchants and local businesses</t>
  </si>
  <si>
    <t xml:space="preserve">Sponsorship tiers</t>
  </si>
  <si>
    <t xml:space="preserve">Jan–May 2027</t>
  </si>
  <si>
    <t xml:space="preserve">Youth Treasury Crew pitches with adult chaperones</t>
  </si>
  <si>
    <t xml:space="preserve">Burns Memorial Fund (children and youth in low-income situations)</t>
  </si>
  <si>
    <t xml:space="preserve">Registered charities</t>
  </si>
  <si>
    <t xml:space="preserve">Bursary or access component only</t>
  </si>
  <si>
    <t xml:space="preserve">Confirm 2027 dates</t>
  </si>
  <si>
    <t xml:space="preserve">Partner with a charity to fund bursaries and access</t>
  </si>
  <si>
    <t xml:space="preserve">https://burnsfund.com/</t>
  </si>
  <si>
    <t xml:space="preserve">Canada Post Community Foundation</t>
  </si>
  <si>
    <t xml:space="preserve">Registered charities and non-profits (youth up to 21)</t>
  </si>
  <si>
    <t xml:space="preserve">Must start or expand a service for children/youth</t>
  </si>
  <si>
    <t xml:space="preserve">Opens 8 Feb, closes 26 Feb 2027; announced Sept 2027</t>
  </si>
  <si>
    <t xml:space="preserve">Apply Feb 2027 for Season Two youth-leadership programming</t>
  </si>
  <si>
    <t xml:space="preserve">https://www.canadapost-postescanada.ca/cpc/en/our-company/community-foundation/community-foundation-application.page</t>
  </si>
  <si>
    <t xml:space="preserve">Building Communities through Arts &amp; Heritage: Local Festivals (Canadian Heritage)</t>
  </si>
  <si>
    <t xml:space="preserve">Local non-profits; must have run a prior edition</t>
  </si>
  <si>
    <t xml:space="preserve">Up to 100% of eligible expenses; first editions not eligible</t>
  </si>
  <si>
    <t xml:space="preserve">15 Oct 2027 for summer 2028 festivals</t>
  </si>
  <si>
    <t xml:space="preserve">Run Season One well, then apply for Season Two as a recurring local arts festival</t>
  </si>
  <si>
    <t xml:space="preserve">https://hellodarwin.com/business-aid/programs/local-festivals-building-communities-through-arts-and-heritage</t>
  </si>
  <si>
    <t xml:space="preserve">New Horizons for Seniors Program: community-based projects</t>
  </si>
  <si>
    <t xml:space="preserve">Non-profits; projects led or inspired by seniors</t>
  </si>
  <si>
    <t xml:space="preserve">Up to $50,000 ($25,000 cap on capital)</t>
  </si>
  <si>
    <t xml:space="preserve">Next call expected ~June 2027 (2026 call: 2 Jun–14 Jul)</t>
  </si>
  <si>
    <t xml:space="preserve">Design an intergenerational strand: seniors as storytellers, porch captains and mentors</t>
  </si>
  <si>
    <t xml:space="preserve">https://www.canada.ca/en/employment-social-development/news/2026/06/new-horizons-for-seniors-program---call-for-proposals.html</t>
  </si>
  <si>
    <t xml:space="preserve">TELUS Friendly Future Foundation: Calgary Community Board</t>
  </si>
  <si>
    <t xml:space="preserve">Corporate foundation</t>
  </si>
  <si>
    <t xml:space="preserve">Registered charities only (youth up to 29)</t>
  </si>
  <si>
    <t xml:space="preserve">Single-year grant; one application per 12 months</t>
  </si>
  <si>
    <t xml:space="preserve">2027 cycle TBA (2026 closed)</t>
  </si>
  <si>
    <t xml:space="preserve">Find a charity partner; watch for the 2027 cycle</t>
  </si>
  <si>
    <t xml:space="preserve">https://www.friendlyfuture.com/en/foundation/apply-for-funding</t>
  </si>
  <si>
    <t xml:space="preserve">Calgary Foundation Community Grants</t>
  </si>
  <si>
    <t xml:space="preserve">Registered charities only</t>
  </si>
  <si>
    <t xml:space="preserve">Range about $5,000–$200,000</t>
  </si>
  <si>
    <t xml:space="preserve">Typically mid-Feb and mid-Sept</t>
  </si>
  <si>
    <t xml:space="preserve">Charity partner required; target Season Two</t>
  </si>
  <si>
    <t xml:space="preserve">https://calgaryfoundation.org/</t>
  </si>
  <si>
    <t xml:space="preserve">Calgary Flames Foundation Community Grants</t>
  </si>
  <si>
    <t xml:space="preserve">Registered charities (youth health, wellness, sport)</t>
  </si>
  <si>
    <t xml:space="preserve">Youth wellness focus</t>
  </si>
  <si>
    <t xml:space="preserve">~1 Apr 2027 (confirm)</t>
  </si>
  <si>
    <t xml:space="preserve">Frame as youth wellness and activity; charity partner required</t>
  </si>
  <si>
    <t xml:space="preserve">https://hellodarwin.com/business-aid/programs/calgary-flames-foundation-community-grant-program</t>
  </si>
  <si>
    <t xml:space="preserve">Canada Council for the Arts: Arts Across Canada, Public Outreach</t>
  </si>
  <si>
    <t xml:space="preserve">Arts groups and organizations only</t>
  </si>
  <si>
    <t xml:space="preserve">Professional arts eligibility required</t>
  </si>
  <si>
    <t xml:space="preserve">Next published deadline passed 14 Oct 2026; check the next one</t>
  </si>
  <si>
    <t xml:space="preserve">Only via an eligible arts partner (e.g. a theatre company co-producing)</t>
  </si>
  <si>
    <t xml:space="preserve">https://canadacouncil.ca/funding/grants/arts-across-canada-and-abroad</t>
  </si>
  <si>
    <t xml:space="preserve">Canadian Heritage: Youth Take Charge / Youth Engagement Program</t>
  </si>
  <si>
    <t xml:space="preserve">Non-profits with 3+ years of youth programming</t>
  </si>
  <si>
    <t xml:space="preserve">Total federal assistance ≤ 75% of costs</t>
  </si>
  <si>
    <t xml:space="preserve">Closed; next intake TBA</t>
  </si>
  <si>
    <t xml:space="preserve">Only through a partner with a youth-programming track record (e.g. a youth organization)</t>
  </si>
  <si>
    <t xml:space="preserve">https://hellodarwin.com/business-aid/programs/youth-take-charge</t>
  </si>
  <si>
    <t xml:space="preserve">Young Canada Works (heritage organizations)</t>
  </si>
  <si>
    <t xml:space="preserve">Heritage organizations</t>
  </si>
  <si>
    <t xml:space="preserve">About 50% of wages</t>
  </si>
  <si>
    <t xml:space="preserve">15 Jan 2027</t>
  </si>
  <si>
    <t xml:space="preserve">Not a fit unless a heritage organization co-hosts</t>
  </si>
  <si>
    <t xml:space="preserve">https://www.canada.ca/en/canadian-heritage/services/funding/young-canada-works/employers.html</t>
  </si>
  <si>
    <t xml:space="preserve">Canada Service Corps (youth service)</t>
  </si>
  <si>
    <t xml:space="preserve">Funded organizations only</t>
  </si>
  <si>
    <t xml:space="preserve">Micro-grants through funded organizations</t>
  </si>
  <si>
    <t xml:space="preserve">No open intake found</t>
  </si>
  <si>
    <t xml:space="preserve">Monitor; no action now</t>
  </si>
  <si>
    <t xml:space="preserve">https://www.canada.ca/en/employment-social-development/services/funding/microgrants-youth-organizations.html</t>
  </si>
  <si>
    <t xml:space="preserve">Totals (all rows)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</si>
</sst>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;&quot;($&quot;#,##0\);\-"/>
    <numFmt numFmtId="167" formatCode="0%;\(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i val="true"/>
      <sz val="9"/>
      <color rgb="FF5B61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E8E2D4"/>
        <bgColor rgb="FFD9D2C2"/>
      </patternFill>
    </fill>
    <fill>
      <patternFill patternType="solid">
        <fgColor rgb="FFFFFF00"/>
        <bgColor rgb="FFFFFF00"/>
      </patternFill>
    </fill>
    <fill>
      <patternFill patternType="solid">
        <fgColor rgb="FFFBF6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2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4213D"/>
          <bgColor rgb="FF000000"/>
        </patternFill>
      </fill>
    </dxf>
    <dxf>
      <fill>
        <patternFill patternType="solid">
          <fgColor rgb="FFFBF6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2"/>
      <rgbColor rgb="FF808080"/>
      <rgbColor rgb="FF9999FF"/>
      <rgbColor rgb="FF993366"/>
      <rgbColor rgb="FFFBF6EC"/>
      <rgbColor rgb="FFCCFFFF"/>
      <rgbColor rgb="FF660066"/>
      <rgbColor rgb="FFFF8080"/>
      <rgbColor rgb="FF0066CC"/>
      <rgbColor rgb="FFE8E2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1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COUNTIF(Register!$E$5:$E$30,A5)</f>
        <v>16</v>
      </c>
      <c r="C5" s="6" t="n">
        <f aca="false">SUMIF(Register!$E$5:$E$30,$A5,Register!$H$5:$H$30)</f>
        <v>238816</v>
      </c>
      <c r="D5" s="6" t="n">
        <f aca="false">SUMIF(Register!$E$5:$E$30,$A5,Register!$L$5:$L$30)</f>
        <v>52761.96</v>
      </c>
    </row>
    <row r="6" customFormat="false" ht="15" hidden="false" customHeight="false" outlineLevel="0" collapsed="false">
      <c r="A6" s="4" t="s">
        <v>7</v>
      </c>
      <c r="B6" s="5" t="n">
        <f aca="false">COUNTIF(Register!$E$5:$E$30,A6)</f>
        <v>3</v>
      </c>
      <c r="C6" s="6" t="n">
        <f aca="false">SUMIF(Register!$E$5:$E$30,$A6,Register!$H$5:$H$30)</f>
        <v>275000</v>
      </c>
      <c r="D6" s="6" t="n">
        <f aca="false">SUMIF(Register!$E$5:$E$30,$A6,Register!$L$5:$L$30)</f>
        <v>30750</v>
      </c>
    </row>
    <row r="7" customFormat="false" ht="15" hidden="false" customHeight="false" outlineLevel="0" collapsed="false">
      <c r="A7" s="4" t="s">
        <v>8</v>
      </c>
      <c r="B7" s="5" t="n">
        <f aca="false">COUNTIF(Register!$E$5:$E$30,A7)</f>
        <v>7</v>
      </c>
      <c r="C7" s="6" t="n">
        <f aca="false">SUMIF(Register!$E$5:$E$30,$A7,Register!$H$5:$H$30)</f>
        <v>145000</v>
      </c>
      <c r="D7" s="6" t="n">
        <f aca="false">SUMIF(Register!$E$5:$E$30,$A7,Register!$L$5:$L$30)</f>
        <v>12875</v>
      </c>
    </row>
    <row r="8" customFormat="false" ht="15" hidden="false" customHeight="false" outlineLevel="0" collapsed="false">
      <c r="A8" s="7" t="s">
        <v>9</v>
      </c>
      <c r="B8" s="8" t="n">
        <f aca="false">SUM(B5:B7)</f>
        <v>26</v>
      </c>
      <c r="C8" s="9" t="n">
        <f aca="false">SUM(C5:C7)</f>
        <v>658816</v>
      </c>
      <c r="D8" s="9" t="n">
        <f aca="false">SUM(D5:D7)</f>
        <v>96386.96</v>
      </c>
    </row>
    <row r="10" customFormat="false" ht="15" hidden="false" customHeight="false" outlineLevel="0" collapsed="false">
      <c r="A10" s="3" t="s">
        <v>10</v>
      </c>
      <c r="B10" s="3" t="s">
        <v>3</v>
      </c>
      <c r="C10" s="3" t="s">
        <v>4</v>
      </c>
      <c r="D10" s="3" t="s">
        <v>5</v>
      </c>
    </row>
    <row r="11" customFormat="false" ht="15" hidden="false" customHeight="false" outlineLevel="0" collapsed="false">
      <c r="A11" s="4" t="s">
        <v>11</v>
      </c>
      <c r="B11" s="5" t="n">
        <f aca="false">COUNTIFS(Register!$D$5:$D$30,A11,Register!$E$5:$E$30,"Season One")</f>
        <v>3</v>
      </c>
      <c r="C11" s="6" t="n">
        <f aca="false">SUMIFS(Register!$H$5:$H$30,Register!$D$5:$D$30,$A11,Register!$E$5:$E$30,"Season One")</f>
        <v>25816</v>
      </c>
      <c r="D11" s="6" t="n">
        <f aca="false">SUMIFS(Register!$L$5:$L$30,Register!$D$5:$D$30,$A11,Register!$E$5:$E$30,"Season One")</f>
        <v>13161.96</v>
      </c>
    </row>
    <row r="12" customFormat="false" ht="15" hidden="false" customHeight="false" outlineLevel="0" collapsed="false">
      <c r="A12" s="4" t="s">
        <v>12</v>
      </c>
      <c r="B12" s="5" t="n">
        <f aca="false">COUNTIFS(Register!$D$5:$D$30,A12,Register!$E$5:$E$30,"Season One")</f>
        <v>3</v>
      </c>
      <c r="C12" s="6" t="n">
        <f aca="false">SUMIFS(Register!$H$5:$H$30,Register!$D$5:$D$30,$A12,Register!$E$5:$E$30,"Season One")</f>
        <v>60000</v>
      </c>
      <c r="D12" s="6" t="n">
        <f aca="false">SUMIFS(Register!$L$5:$L$30,Register!$D$5:$D$30,$A12,Register!$E$5:$E$30,"Season One")</f>
        <v>9900</v>
      </c>
    </row>
    <row r="13" customFormat="false" ht="15" hidden="false" customHeight="false" outlineLevel="0" collapsed="false">
      <c r="A13" s="4" t="s">
        <v>13</v>
      </c>
      <c r="B13" s="5" t="n">
        <f aca="false">COUNTIFS(Register!$D$5:$D$30,A13,Register!$E$5:$E$30,"Season One")</f>
        <v>8</v>
      </c>
      <c r="C13" s="6" t="n">
        <f aca="false">SUMIFS(Register!$H$5:$H$30,Register!$D$5:$D$30,$A13,Register!$E$5:$E$30,"Season One")</f>
        <v>146000</v>
      </c>
      <c r="D13" s="6" t="n">
        <f aca="false">SUMIFS(Register!$L$5:$L$30,Register!$D$5:$D$30,$A13,Register!$E$5:$E$30,"Season One")</f>
        <v>27800</v>
      </c>
    </row>
    <row r="14" customFormat="false" ht="15" hidden="false" customHeight="false" outlineLevel="0" collapsed="false">
      <c r="A14" s="4" t="s">
        <v>14</v>
      </c>
      <c r="B14" s="5" t="n">
        <f aca="false">COUNTIFS(Register!$D$5:$D$30,A14,Register!$E$5:$E$30,"Season One")</f>
        <v>2</v>
      </c>
      <c r="C14" s="6" t="n">
        <f aca="false">SUMIFS(Register!$H$5:$H$30,Register!$D$5:$D$30,$A14,Register!$E$5:$E$30,"Season One")</f>
        <v>7000</v>
      </c>
      <c r="D14" s="6" t="n">
        <f aca="false">SUMIFS(Register!$L$5:$L$30,Register!$D$5:$D$30,$A14,Register!$E$5:$E$30,"Season One")</f>
        <v>1900</v>
      </c>
    </row>
    <row r="16" customFormat="false" ht="15" hidden="false" customHeight="false" outlineLevel="0" collapsed="false">
      <c r="A16" s="4" t="s">
        <v>15</v>
      </c>
      <c r="C16" s="10" t="n">
        <v>49730</v>
      </c>
    </row>
    <row r="17" customFormat="false" ht="15" hidden="false" customHeight="false" outlineLevel="0" collapsed="false">
      <c r="A17" s="4" t="s">
        <v>16</v>
      </c>
      <c r="C17" s="11" t="n">
        <f aca="false">D5</f>
        <v>52761.96</v>
      </c>
    </row>
    <row r="18" customFormat="false" ht="15" hidden="false" customHeight="false" outlineLevel="0" collapsed="false">
      <c r="A18" s="7" t="s">
        <v>17</v>
      </c>
      <c r="C18" s="12" t="n">
        <f aca="false">MAX(0,C16-C17)</f>
        <v>0</v>
      </c>
    </row>
    <row r="20" customFormat="false" ht="30" hidden="false" customHeight="true" outlineLevel="0" collapsed="false">
      <c r="A20" s="13" t="s">
        <v>18</v>
      </c>
      <c r="B20" s="13"/>
      <c r="C20" s="13"/>
      <c r="D20" s="13"/>
    </row>
    <row r="21" customFormat="false" ht="30" hidden="false" customHeight="true" outlineLevel="0" collapsed="false">
      <c r="A21" s="13" t="s">
        <v>19</v>
      </c>
      <c r="B21" s="13"/>
      <c r="C21" s="13"/>
      <c r="D21" s="13"/>
    </row>
    <row r="22" customFormat="false" ht="30" hidden="false" customHeight="true" outlineLevel="0" collapsed="false">
      <c r="A22" s="13" t="s">
        <v>20</v>
      </c>
      <c r="B22" s="13"/>
      <c r="C22" s="13"/>
      <c r="D22" s="13"/>
    </row>
    <row r="23" customFormat="false" ht="30" hidden="false" customHeight="true" outlineLevel="0" collapsed="false">
      <c r="A23" s="13" t="s">
        <v>21</v>
      </c>
      <c r="B23" s="13"/>
      <c r="C23" s="13"/>
      <c r="D23" s="13"/>
    </row>
    <row r="24" customFormat="false" ht="30" hidden="false" customHeight="true" outlineLevel="0" collapsed="false">
      <c r="A24" s="13" t="s">
        <v>22</v>
      </c>
      <c r="B24" s="13"/>
      <c r="C24" s="13"/>
      <c r="D24" s="13"/>
    </row>
  </sheetData>
  <mergeCells count="5"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26"/>
    <col collapsed="false" customWidth="true" hidden="false" outlineLevel="0" max="14" min="14" style="0" width="44"/>
    <col collapsed="false" customWidth="true" hidden="false" outlineLevel="0" max="15" min="15" style="0" width="50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30" hidden="false" customHeight="true" outlineLevel="0" collapsed="false">
      <c r="A4" s="14" t="s">
        <v>25</v>
      </c>
      <c r="B4" s="14" t="s">
        <v>26</v>
      </c>
      <c r="C4" s="14" t="s">
        <v>27</v>
      </c>
      <c r="D4" s="14" t="s">
        <v>28</v>
      </c>
      <c r="E4" s="14" t="s">
        <v>2</v>
      </c>
      <c r="F4" s="14" t="s">
        <v>29</v>
      </c>
      <c r="G4" s="14" t="s">
        <v>30</v>
      </c>
      <c r="H4" s="14" t="s">
        <v>31</v>
      </c>
      <c r="I4" s="14" t="s">
        <v>32</v>
      </c>
      <c r="J4" s="14" t="s">
        <v>33</v>
      </c>
      <c r="K4" s="14" t="s">
        <v>34</v>
      </c>
      <c r="L4" s="14" t="s">
        <v>5</v>
      </c>
      <c r="M4" s="14" t="s">
        <v>35</v>
      </c>
      <c r="N4" s="14" t="s">
        <v>36</v>
      </c>
      <c r="O4" s="14" t="s">
        <v>37</v>
      </c>
    </row>
    <row r="5" customFormat="false" ht="23.85" hidden="false" customHeight="false" outlineLevel="0" collapsed="false">
      <c r="A5" s="15" t="n">
        <v>1</v>
      </c>
      <c r="B5" s="15" t="s">
        <v>38</v>
      </c>
      <c r="C5" s="15" t="s">
        <v>39</v>
      </c>
      <c r="D5" s="15" t="s">
        <v>11</v>
      </c>
      <c r="E5" s="15" t="s">
        <v>6</v>
      </c>
      <c r="F5" s="15" t="s">
        <v>40</v>
      </c>
      <c r="G5" s="16" t="n">
        <v>18816</v>
      </c>
      <c r="H5" s="16" t="n">
        <v>18816</v>
      </c>
      <c r="I5" s="15" t="s">
        <v>41</v>
      </c>
      <c r="J5" s="17" t="n">
        <v>0.7</v>
      </c>
      <c r="K5" s="17" t="n">
        <v>0.8</v>
      </c>
      <c r="L5" s="18" t="n">
        <f aca="false">H5*J5*K5</f>
        <v>10536.96</v>
      </c>
      <c r="M5" s="15" t="s">
        <v>42</v>
      </c>
      <c r="N5" s="15" t="s">
        <v>43</v>
      </c>
      <c r="O5" s="15" t="s">
        <v>44</v>
      </c>
    </row>
    <row r="6" customFormat="false" ht="35.05" hidden="false" customHeight="false" outlineLevel="0" collapsed="false">
      <c r="A6" s="15" t="n">
        <v>2</v>
      </c>
      <c r="B6" s="15" t="s">
        <v>45</v>
      </c>
      <c r="C6" s="15" t="s">
        <v>39</v>
      </c>
      <c r="D6" s="15" t="s">
        <v>11</v>
      </c>
      <c r="E6" s="15" t="s">
        <v>6</v>
      </c>
      <c r="F6" s="15" t="s">
        <v>46</v>
      </c>
      <c r="G6" s="16" t="n">
        <v>7000</v>
      </c>
      <c r="H6" s="16" t="n">
        <v>7000</v>
      </c>
      <c r="I6" s="15" t="s">
        <v>47</v>
      </c>
      <c r="J6" s="17" t="n">
        <v>0.5</v>
      </c>
      <c r="K6" s="17" t="n">
        <v>0.75</v>
      </c>
      <c r="L6" s="18" t="n">
        <f aca="false">H6*J6*K6</f>
        <v>2625</v>
      </c>
      <c r="M6" s="15" t="s">
        <v>48</v>
      </c>
      <c r="N6" s="15" t="s">
        <v>49</v>
      </c>
      <c r="O6" s="15" t="s">
        <v>50</v>
      </c>
    </row>
    <row r="7" customFormat="false" ht="23.85" hidden="false" customHeight="false" outlineLevel="0" collapsed="false">
      <c r="A7" s="15" t="n">
        <v>3</v>
      </c>
      <c r="B7" s="15" t="s">
        <v>51</v>
      </c>
      <c r="C7" s="15" t="s">
        <v>52</v>
      </c>
      <c r="D7" s="15" t="s">
        <v>11</v>
      </c>
      <c r="E7" s="15" t="s">
        <v>6</v>
      </c>
      <c r="F7" s="15" t="s">
        <v>53</v>
      </c>
      <c r="G7" s="16" t="n">
        <v>0</v>
      </c>
      <c r="H7" s="16" t="n">
        <v>0</v>
      </c>
      <c r="I7" s="15" t="s">
        <v>54</v>
      </c>
      <c r="J7" s="17" t="n">
        <v>0.8</v>
      </c>
      <c r="K7" s="17" t="n">
        <v>1</v>
      </c>
      <c r="L7" s="18" t="n">
        <f aca="false">H7*J7*K7</f>
        <v>0</v>
      </c>
      <c r="M7" s="15" t="s">
        <v>55</v>
      </c>
      <c r="N7" s="15" t="s">
        <v>56</v>
      </c>
      <c r="O7" s="15" t="s">
        <v>57</v>
      </c>
    </row>
    <row r="8" customFormat="false" ht="35.05" hidden="false" customHeight="false" outlineLevel="0" collapsed="false">
      <c r="A8" s="15" t="n">
        <v>4</v>
      </c>
      <c r="B8" s="15" t="s">
        <v>58</v>
      </c>
      <c r="C8" s="15" t="s">
        <v>59</v>
      </c>
      <c r="D8" s="15" t="s">
        <v>13</v>
      </c>
      <c r="E8" s="15" t="s">
        <v>6</v>
      </c>
      <c r="F8" s="15" t="s">
        <v>60</v>
      </c>
      <c r="G8" s="16" t="n">
        <v>15000</v>
      </c>
      <c r="H8" s="16" t="n">
        <v>15000</v>
      </c>
      <c r="I8" s="15" t="s">
        <v>61</v>
      </c>
      <c r="J8" s="17" t="n">
        <v>0.4</v>
      </c>
      <c r="K8" s="17" t="n">
        <v>0.6</v>
      </c>
      <c r="L8" s="18" t="n">
        <f aca="false">H8*J8*K8</f>
        <v>3600</v>
      </c>
      <c r="M8" s="15" t="s">
        <v>62</v>
      </c>
      <c r="N8" s="15" t="s">
        <v>63</v>
      </c>
      <c r="O8" s="15" t="s">
        <v>64</v>
      </c>
    </row>
    <row r="9" customFormat="false" ht="23.85" hidden="false" customHeight="false" outlineLevel="0" collapsed="false">
      <c r="A9" s="15" t="n">
        <v>5</v>
      </c>
      <c r="B9" s="15" t="s">
        <v>65</v>
      </c>
      <c r="C9" s="15" t="s">
        <v>59</v>
      </c>
      <c r="D9" s="15" t="s">
        <v>13</v>
      </c>
      <c r="E9" s="15" t="s">
        <v>6</v>
      </c>
      <c r="F9" s="15" t="s">
        <v>66</v>
      </c>
      <c r="G9" s="16" t="n">
        <v>1000</v>
      </c>
      <c r="H9" s="16" t="n">
        <v>1000</v>
      </c>
      <c r="I9" s="15" t="s">
        <v>67</v>
      </c>
      <c r="J9" s="17" t="n">
        <v>0.3</v>
      </c>
      <c r="K9" s="17" t="n">
        <v>1</v>
      </c>
      <c r="L9" s="18" t="n">
        <f aca="false">H9*J9*K9</f>
        <v>300</v>
      </c>
      <c r="M9" s="15" t="s">
        <v>68</v>
      </c>
      <c r="N9" s="15" t="s">
        <v>69</v>
      </c>
      <c r="O9" s="15" t="s">
        <v>70</v>
      </c>
    </row>
    <row r="10" customFormat="false" ht="23.85" hidden="false" customHeight="false" outlineLevel="0" collapsed="false">
      <c r="A10" s="15" t="n">
        <v>6</v>
      </c>
      <c r="B10" s="15" t="s">
        <v>71</v>
      </c>
      <c r="C10" s="15" t="s">
        <v>72</v>
      </c>
      <c r="D10" s="15" t="s">
        <v>13</v>
      </c>
      <c r="E10" s="15" t="s">
        <v>6</v>
      </c>
      <c r="F10" s="15" t="s">
        <v>73</v>
      </c>
      <c r="G10" s="16" t="n">
        <v>10000</v>
      </c>
      <c r="H10" s="16" t="n">
        <v>10000</v>
      </c>
      <c r="I10" s="15" t="s">
        <v>74</v>
      </c>
      <c r="J10" s="17" t="n">
        <v>0.5</v>
      </c>
      <c r="K10" s="17" t="n">
        <v>0.7</v>
      </c>
      <c r="L10" s="18" t="n">
        <f aca="false">H10*J10*K10</f>
        <v>3500</v>
      </c>
      <c r="M10" s="15" t="s">
        <v>75</v>
      </c>
      <c r="N10" s="15" t="s">
        <v>76</v>
      </c>
      <c r="O10" s="15" t="s">
        <v>77</v>
      </c>
    </row>
    <row r="11" customFormat="false" ht="23.85" hidden="false" customHeight="false" outlineLevel="0" collapsed="false">
      <c r="A11" s="15" t="n">
        <v>7</v>
      </c>
      <c r="B11" s="15" t="s">
        <v>78</v>
      </c>
      <c r="C11" s="15" t="s">
        <v>72</v>
      </c>
      <c r="D11" s="15" t="s">
        <v>14</v>
      </c>
      <c r="E11" s="15" t="s">
        <v>6</v>
      </c>
      <c r="F11" s="15" t="s">
        <v>79</v>
      </c>
      <c r="G11" s="16" t="n">
        <v>2000</v>
      </c>
      <c r="H11" s="16" t="n">
        <v>2000</v>
      </c>
      <c r="I11" s="15" t="s">
        <v>61</v>
      </c>
      <c r="J11" s="17" t="n">
        <v>0.5</v>
      </c>
      <c r="K11" s="17" t="n">
        <v>1</v>
      </c>
      <c r="L11" s="18" t="n">
        <f aca="false">H11*J11*K11</f>
        <v>1000</v>
      </c>
      <c r="M11" s="15" t="s">
        <v>80</v>
      </c>
      <c r="N11" s="15" t="s">
        <v>81</v>
      </c>
      <c r="O11" s="15" t="s">
        <v>82</v>
      </c>
    </row>
    <row r="12" customFormat="false" ht="35.05" hidden="false" customHeight="false" outlineLevel="0" collapsed="false">
      <c r="A12" s="15" t="n">
        <v>8</v>
      </c>
      <c r="B12" s="15" t="s">
        <v>83</v>
      </c>
      <c r="C12" s="15" t="s">
        <v>84</v>
      </c>
      <c r="D12" s="15" t="s">
        <v>13</v>
      </c>
      <c r="E12" s="15" t="s">
        <v>6</v>
      </c>
      <c r="F12" s="15" t="s">
        <v>85</v>
      </c>
      <c r="G12" s="16" t="n">
        <v>20000</v>
      </c>
      <c r="H12" s="16" t="n">
        <v>10000</v>
      </c>
      <c r="I12" s="15" t="s">
        <v>86</v>
      </c>
      <c r="J12" s="17" t="n">
        <v>0.5</v>
      </c>
      <c r="K12" s="17" t="n">
        <v>0.5</v>
      </c>
      <c r="L12" s="18" t="n">
        <f aca="false">H12*J12*K12</f>
        <v>2500</v>
      </c>
      <c r="M12" s="15" t="s">
        <v>87</v>
      </c>
      <c r="N12" s="15" t="s">
        <v>88</v>
      </c>
      <c r="O12" s="15" t="s">
        <v>89</v>
      </c>
    </row>
    <row r="13" customFormat="false" ht="23.85" hidden="false" customHeight="false" outlineLevel="0" collapsed="false">
      <c r="A13" s="15" t="n">
        <v>9</v>
      </c>
      <c r="B13" s="15" t="s">
        <v>90</v>
      </c>
      <c r="C13" s="15" t="s">
        <v>84</v>
      </c>
      <c r="D13" s="15" t="s">
        <v>13</v>
      </c>
      <c r="E13" s="15" t="s">
        <v>6</v>
      </c>
      <c r="F13" s="15" t="s">
        <v>91</v>
      </c>
      <c r="G13" s="16" t="n">
        <v>15000</v>
      </c>
      <c r="H13" s="16" t="n">
        <v>15000</v>
      </c>
      <c r="I13" s="15" t="s">
        <v>92</v>
      </c>
      <c r="J13" s="17" t="n">
        <v>0.5</v>
      </c>
      <c r="K13" s="17" t="n">
        <v>0.6</v>
      </c>
      <c r="L13" s="18" t="n">
        <f aca="false">H13*J13*K13</f>
        <v>4500</v>
      </c>
      <c r="M13" s="15" t="s">
        <v>93</v>
      </c>
      <c r="N13" s="15" t="s">
        <v>94</v>
      </c>
      <c r="O13" s="15" t="s">
        <v>95</v>
      </c>
    </row>
    <row r="14" customFormat="false" ht="23.85" hidden="false" customHeight="false" outlineLevel="0" collapsed="false">
      <c r="A14" s="15" t="n">
        <v>10</v>
      </c>
      <c r="B14" s="15" t="s">
        <v>96</v>
      </c>
      <c r="C14" s="15" t="s">
        <v>84</v>
      </c>
      <c r="D14" s="15" t="s">
        <v>12</v>
      </c>
      <c r="E14" s="15" t="s">
        <v>6</v>
      </c>
      <c r="F14" s="15" t="s">
        <v>97</v>
      </c>
      <c r="G14" s="16" t="n">
        <v>30000</v>
      </c>
      <c r="H14" s="16" t="n">
        <v>30000</v>
      </c>
      <c r="I14" s="15" t="s">
        <v>98</v>
      </c>
      <c r="J14" s="17" t="n">
        <v>0.3</v>
      </c>
      <c r="K14" s="17" t="n">
        <v>0.5</v>
      </c>
      <c r="L14" s="18" t="n">
        <f aca="false">H14*J14*K14</f>
        <v>4500</v>
      </c>
      <c r="M14" s="15" t="s">
        <v>99</v>
      </c>
      <c r="N14" s="15" t="s">
        <v>100</v>
      </c>
      <c r="O14" s="15" t="s">
        <v>101</v>
      </c>
    </row>
    <row r="15" customFormat="false" ht="35.05" hidden="false" customHeight="false" outlineLevel="0" collapsed="false">
      <c r="A15" s="15" t="n">
        <v>11</v>
      </c>
      <c r="B15" s="15" t="s">
        <v>102</v>
      </c>
      <c r="C15" s="15" t="s">
        <v>103</v>
      </c>
      <c r="D15" s="15" t="s">
        <v>12</v>
      </c>
      <c r="E15" s="15" t="s">
        <v>6</v>
      </c>
      <c r="F15" s="15" t="s">
        <v>104</v>
      </c>
      <c r="G15" s="16" t="n">
        <v>20000</v>
      </c>
      <c r="H15" s="16" t="n">
        <v>20000</v>
      </c>
      <c r="I15" s="15" t="s">
        <v>105</v>
      </c>
      <c r="J15" s="17" t="n">
        <v>0.25</v>
      </c>
      <c r="K15" s="17" t="n">
        <v>0.6</v>
      </c>
      <c r="L15" s="18" t="n">
        <f aca="false">H15*J15*K15</f>
        <v>3000</v>
      </c>
      <c r="M15" s="15" t="s">
        <v>106</v>
      </c>
      <c r="N15" s="15" t="s">
        <v>107</v>
      </c>
      <c r="O15" s="15" t="s">
        <v>108</v>
      </c>
    </row>
    <row r="16" customFormat="false" ht="35.05" hidden="false" customHeight="false" outlineLevel="0" collapsed="false">
      <c r="A16" s="15" t="n">
        <v>12</v>
      </c>
      <c r="B16" s="15" t="s">
        <v>109</v>
      </c>
      <c r="C16" s="15" t="s">
        <v>103</v>
      </c>
      <c r="D16" s="15" t="s">
        <v>13</v>
      </c>
      <c r="E16" s="15" t="s">
        <v>6</v>
      </c>
      <c r="F16" s="15" t="s">
        <v>110</v>
      </c>
      <c r="G16" s="16" t="n">
        <v>75000</v>
      </c>
      <c r="H16" s="16" t="n">
        <v>75000</v>
      </c>
      <c r="I16" s="15" t="s">
        <v>111</v>
      </c>
      <c r="J16" s="17" t="n">
        <v>0.2</v>
      </c>
      <c r="K16" s="17" t="n">
        <v>0.5</v>
      </c>
      <c r="L16" s="18" t="n">
        <f aca="false">H16*J16*K16</f>
        <v>7500</v>
      </c>
      <c r="M16" s="15" t="s">
        <v>112</v>
      </c>
      <c r="N16" s="15" t="s">
        <v>113</v>
      </c>
      <c r="O16" s="15" t="s">
        <v>114</v>
      </c>
    </row>
    <row r="17" customFormat="false" ht="23.85" hidden="false" customHeight="false" outlineLevel="0" collapsed="false">
      <c r="A17" s="15" t="n">
        <v>13</v>
      </c>
      <c r="B17" s="15" t="s">
        <v>115</v>
      </c>
      <c r="C17" s="15" t="s">
        <v>103</v>
      </c>
      <c r="D17" s="15" t="s">
        <v>12</v>
      </c>
      <c r="E17" s="15" t="s">
        <v>6</v>
      </c>
      <c r="F17" s="15" t="s">
        <v>116</v>
      </c>
      <c r="G17" s="16" t="n">
        <v>10000</v>
      </c>
      <c r="H17" s="16" t="n">
        <v>10000</v>
      </c>
      <c r="I17" s="15" t="s">
        <v>117</v>
      </c>
      <c r="J17" s="17" t="n">
        <v>0.3</v>
      </c>
      <c r="K17" s="17" t="n">
        <v>0.8</v>
      </c>
      <c r="L17" s="18" t="n">
        <f aca="false">H17*J17*K17</f>
        <v>2400</v>
      </c>
      <c r="M17" s="15" t="s">
        <v>118</v>
      </c>
      <c r="N17" s="15" t="s">
        <v>119</v>
      </c>
      <c r="O17" s="15" t="s">
        <v>120</v>
      </c>
    </row>
    <row r="18" customFormat="false" ht="23.85" hidden="false" customHeight="false" outlineLevel="0" collapsed="false">
      <c r="A18" s="15" t="n">
        <v>14</v>
      </c>
      <c r="B18" s="15" t="s">
        <v>121</v>
      </c>
      <c r="C18" s="15" t="s">
        <v>122</v>
      </c>
      <c r="D18" s="15" t="s">
        <v>13</v>
      </c>
      <c r="E18" s="15" t="s">
        <v>6</v>
      </c>
      <c r="F18" s="15" t="s">
        <v>123</v>
      </c>
      <c r="G18" s="16" t="n">
        <v>10000</v>
      </c>
      <c r="H18" s="16" t="n">
        <v>10000</v>
      </c>
      <c r="I18" s="15" t="s">
        <v>124</v>
      </c>
      <c r="J18" s="17" t="n">
        <v>0.4</v>
      </c>
      <c r="K18" s="17" t="n">
        <v>0.6</v>
      </c>
      <c r="L18" s="18" t="n">
        <f aca="false">H18*J18*K18</f>
        <v>2400</v>
      </c>
      <c r="M18" s="15" t="s">
        <v>125</v>
      </c>
      <c r="N18" s="15" t="s">
        <v>126</v>
      </c>
      <c r="O18" s="15" t="s">
        <v>127</v>
      </c>
    </row>
    <row r="19" customFormat="false" ht="15" hidden="false" customHeight="false" outlineLevel="0" collapsed="false">
      <c r="A19" s="15" t="n">
        <v>15</v>
      </c>
      <c r="B19" s="15" t="s">
        <v>128</v>
      </c>
      <c r="C19" s="15" t="s">
        <v>122</v>
      </c>
      <c r="D19" s="15" t="s">
        <v>13</v>
      </c>
      <c r="E19" s="15" t="s">
        <v>6</v>
      </c>
      <c r="F19" s="15" t="s">
        <v>129</v>
      </c>
      <c r="G19" s="16" t="n">
        <v>10000</v>
      </c>
      <c r="H19" s="16" t="n">
        <v>10000</v>
      </c>
      <c r="I19" s="15" t="s">
        <v>124</v>
      </c>
      <c r="J19" s="17" t="n">
        <v>0.7</v>
      </c>
      <c r="K19" s="17" t="n">
        <v>0.5</v>
      </c>
      <c r="L19" s="18" t="n">
        <f aca="false">H19*J19*K19</f>
        <v>3500</v>
      </c>
      <c r="M19" s="15" t="s">
        <v>130</v>
      </c>
      <c r="N19" s="15" t="s">
        <v>131</v>
      </c>
      <c r="O19" s="15"/>
    </row>
    <row r="20" customFormat="false" ht="23.85" hidden="false" customHeight="false" outlineLevel="0" collapsed="false">
      <c r="A20" s="15" t="n">
        <v>16</v>
      </c>
      <c r="B20" s="15" t="s">
        <v>132</v>
      </c>
      <c r="C20" s="15" t="s">
        <v>72</v>
      </c>
      <c r="D20" s="15" t="s">
        <v>14</v>
      </c>
      <c r="E20" s="15" t="s">
        <v>6</v>
      </c>
      <c r="F20" s="15" t="s">
        <v>133</v>
      </c>
      <c r="G20" s="16" t="n">
        <v>15000</v>
      </c>
      <c r="H20" s="16" t="n">
        <v>5000</v>
      </c>
      <c r="I20" s="15" t="s">
        <v>134</v>
      </c>
      <c r="J20" s="17" t="n">
        <v>0.3</v>
      </c>
      <c r="K20" s="17" t="n">
        <v>0.6</v>
      </c>
      <c r="L20" s="18" t="n">
        <f aca="false">H20*J20*K20</f>
        <v>900</v>
      </c>
      <c r="M20" s="15" t="s">
        <v>135</v>
      </c>
      <c r="N20" s="15" t="s">
        <v>136</v>
      </c>
      <c r="O20" s="15" t="s">
        <v>137</v>
      </c>
    </row>
    <row r="21" customFormat="false" ht="35.05" hidden="false" customHeight="false" outlineLevel="0" collapsed="false">
      <c r="A21" s="19" t="n">
        <v>17</v>
      </c>
      <c r="B21" s="19" t="s">
        <v>138</v>
      </c>
      <c r="C21" s="19" t="s">
        <v>72</v>
      </c>
      <c r="D21" s="19" t="s">
        <v>14</v>
      </c>
      <c r="E21" s="19" t="s">
        <v>7</v>
      </c>
      <c r="F21" s="19" t="s">
        <v>139</v>
      </c>
      <c r="G21" s="20" t="n">
        <v>25000</v>
      </c>
      <c r="H21" s="20" t="n">
        <v>25000</v>
      </c>
      <c r="I21" s="19" t="s">
        <v>140</v>
      </c>
      <c r="J21" s="17" t="n">
        <v>0.3</v>
      </c>
      <c r="K21" s="17" t="n">
        <v>0.7</v>
      </c>
      <c r="L21" s="21" t="n">
        <f aca="false">H21*J21*K21</f>
        <v>5250</v>
      </c>
      <c r="M21" s="19" t="s">
        <v>141</v>
      </c>
      <c r="N21" s="19" t="s">
        <v>142</v>
      </c>
      <c r="O21" s="19" t="s">
        <v>143</v>
      </c>
    </row>
    <row r="22" customFormat="false" ht="23.85" hidden="false" customHeight="false" outlineLevel="0" collapsed="false">
      <c r="A22" s="19" t="n">
        <v>18</v>
      </c>
      <c r="B22" s="19" t="s">
        <v>144</v>
      </c>
      <c r="C22" s="19" t="s">
        <v>39</v>
      </c>
      <c r="D22" s="19" t="s">
        <v>12</v>
      </c>
      <c r="E22" s="19" t="s">
        <v>7</v>
      </c>
      <c r="F22" s="19" t="s">
        <v>145</v>
      </c>
      <c r="G22" s="20" t="n">
        <v>200000</v>
      </c>
      <c r="H22" s="20" t="n">
        <v>200000</v>
      </c>
      <c r="I22" s="19" t="s">
        <v>146</v>
      </c>
      <c r="J22" s="17" t="n">
        <v>0.3</v>
      </c>
      <c r="K22" s="17" t="n">
        <v>0.3</v>
      </c>
      <c r="L22" s="21" t="n">
        <f aca="false">H22*J22*K22</f>
        <v>18000</v>
      </c>
      <c r="M22" s="19" t="s">
        <v>147</v>
      </c>
      <c r="N22" s="19" t="s">
        <v>148</v>
      </c>
      <c r="O22" s="19" t="s">
        <v>149</v>
      </c>
    </row>
    <row r="23" customFormat="false" ht="35.05" hidden="false" customHeight="false" outlineLevel="0" collapsed="false">
      <c r="A23" s="19" t="n">
        <v>19</v>
      </c>
      <c r="B23" s="19" t="s">
        <v>150</v>
      </c>
      <c r="C23" s="19" t="s">
        <v>39</v>
      </c>
      <c r="D23" s="19" t="s">
        <v>13</v>
      </c>
      <c r="E23" s="19" t="s">
        <v>7</v>
      </c>
      <c r="F23" s="19" t="s">
        <v>151</v>
      </c>
      <c r="G23" s="20" t="n">
        <v>50000</v>
      </c>
      <c r="H23" s="20" t="n">
        <v>50000</v>
      </c>
      <c r="I23" s="19" t="s">
        <v>152</v>
      </c>
      <c r="J23" s="17" t="n">
        <v>0.25</v>
      </c>
      <c r="K23" s="17" t="n">
        <v>0.6</v>
      </c>
      <c r="L23" s="21" t="n">
        <f aca="false">H23*J23*K23</f>
        <v>7500</v>
      </c>
      <c r="M23" s="19" t="s">
        <v>153</v>
      </c>
      <c r="N23" s="19" t="s">
        <v>154</v>
      </c>
      <c r="O23" s="19" t="s">
        <v>155</v>
      </c>
    </row>
    <row r="24" customFormat="false" ht="23.85" hidden="false" customHeight="false" outlineLevel="0" collapsed="false">
      <c r="A24" s="15" t="n">
        <v>20</v>
      </c>
      <c r="B24" s="15" t="s">
        <v>156</v>
      </c>
      <c r="C24" s="15" t="s">
        <v>157</v>
      </c>
      <c r="D24" s="15" t="s">
        <v>14</v>
      </c>
      <c r="E24" s="15" t="s">
        <v>8</v>
      </c>
      <c r="F24" s="15" t="s">
        <v>158</v>
      </c>
      <c r="G24" s="16" t="n">
        <v>20000</v>
      </c>
      <c r="H24" s="16" t="n">
        <v>20000</v>
      </c>
      <c r="I24" s="15" t="s">
        <v>159</v>
      </c>
      <c r="J24" s="17" t="n">
        <v>0.25</v>
      </c>
      <c r="K24" s="17" t="n">
        <v>0.7</v>
      </c>
      <c r="L24" s="18" t="n">
        <f aca="false">H24*J24*K24</f>
        <v>3500</v>
      </c>
      <c r="M24" s="15" t="s">
        <v>160</v>
      </c>
      <c r="N24" s="15" t="s">
        <v>161</v>
      </c>
      <c r="O24" s="15" t="s">
        <v>162</v>
      </c>
    </row>
    <row r="25" customFormat="false" ht="15" hidden="false" customHeight="false" outlineLevel="0" collapsed="false">
      <c r="A25" s="15" t="n">
        <v>21</v>
      </c>
      <c r="B25" s="15" t="s">
        <v>163</v>
      </c>
      <c r="C25" s="15" t="s">
        <v>72</v>
      </c>
      <c r="D25" s="15" t="s">
        <v>13</v>
      </c>
      <c r="E25" s="15" t="s">
        <v>8</v>
      </c>
      <c r="F25" s="15" t="s">
        <v>164</v>
      </c>
      <c r="G25" s="16" t="n">
        <v>200000</v>
      </c>
      <c r="H25" s="16" t="n">
        <v>25000</v>
      </c>
      <c r="I25" s="15" t="s">
        <v>165</v>
      </c>
      <c r="J25" s="17" t="n">
        <v>0.25</v>
      </c>
      <c r="K25" s="17" t="n">
        <v>0.6</v>
      </c>
      <c r="L25" s="18" t="n">
        <f aca="false">H25*J25*K25</f>
        <v>3750</v>
      </c>
      <c r="M25" s="15" t="s">
        <v>166</v>
      </c>
      <c r="N25" s="15" t="s">
        <v>167</v>
      </c>
      <c r="O25" s="15" t="s">
        <v>168</v>
      </c>
    </row>
    <row r="26" customFormat="false" ht="23.85" hidden="false" customHeight="false" outlineLevel="0" collapsed="false">
      <c r="A26" s="15" t="n">
        <v>22</v>
      </c>
      <c r="B26" s="15" t="s">
        <v>169</v>
      </c>
      <c r="C26" s="15" t="s">
        <v>157</v>
      </c>
      <c r="D26" s="15" t="s">
        <v>14</v>
      </c>
      <c r="E26" s="15" t="s">
        <v>8</v>
      </c>
      <c r="F26" s="15" t="s">
        <v>170</v>
      </c>
      <c r="G26" s="16" t="n">
        <v>100000</v>
      </c>
      <c r="H26" s="16" t="n">
        <v>25000</v>
      </c>
      <c r="I26" s="15" t="s">
        <v>171</v>
      </c>
      <c r="J26" s="17" t="n">
        <v>0.15</v>
      </c>
      <c r="K26" s="17" t="n">
        <v>0.5</v>
      </c>
      <c r="L26" s="18" t="n">
        <f aca="false">H26*J26*K26</f>
        <v>1875</v>
      </c>
      <c r="M26" s="15" t="s">
        <v>172</v>
      </c>
      <c r="N26" s="15" t="s">
        <v>173</v>
      </c>
      <c r="O26" s="15" t="s">
        <v>174</v>
      </c>
    </row>
    <row r="27" customFormat="false" ht="35.05" hidden="false" customHeight="false" outlineLevel="0" collapsed="false">
      <c r="A27" s="15" t="n">
        <v>23</v>
      </c>
      <c r="B27" s="15" t="s">
        <v>175</v>
      </c>
      <c r="C27" s="15" t="s">
        <v>39</v>
      </c>
      <c r="D27" s="15" t="s">
        <v>12</v>
      </c>
      <c r="E27" s="15" t="s">
        <v>8</v>
      </c>
      <c r="F27" s="15" t="s">
        <v>176</v>
      </c>
      <c r="G27" s="16" t="n">
        <v>75000</v>
      </c>
      <c r="H27" s="16" t="n">
        <v>25000</v>
      </c>
      <c r="I27" s="15" t="s">
        <v>177</v>
      </c>
      <c r="J27" s="17" t="n">
        <v>0.1</v>
      </c>
      <c r="K27" s="17" t="n">
        <v>0.5</v>
      </c>
      <c r="L27" s="18" t="n">
        <f aca="false">H27*J27*K27</f>
        <v>1250</v>
      </c>
      <c r="M27" s="15" t="s">
        <v>178</v>
      </c>
      <c r="N27" s="15" t="s">
        <v>179</v>
      </c>
      <c r="O27" s="15" t="s">
        <v>180</v>
      </c>
    </row>
    <row r="28" customFormat="false" ht="23.85" hidden="false" customHeight="false" outlineLevel="0" collapsed="false">
      <c r="A28" s="15" t="n">
        <v>24</v>
      </c>
      <c r="B28" s="15" t="s">
        <v>181</v>
      </c>
      <c r="C28" s="15" t="s">
        <v>39</v>
      </c>
      <c r="D28" s="15" t="s">
        <v>14</v>
      </c>
      <c r="E28" s="15" t="s">
        <v>8</v>
      </c>
      <c r="F28" s="15" t="s">
        <v>182</v>
      </c>
      <c r="G28" s="16" t="n">
        <v>500000</v>
      </c>
      <c r="H28" s="16" t="n">
        <v>50000</v>
      </c>
      <c r="I28" s="15" t="s">
        <v>183</v>
      </c>
      <c r="J28" s="17" t="n">
        <v>0.1</v>
      </c>
      <c r="K28" s="17" t="n">
        <v>0.5</v>
      </c>
      <c r="L28" s="18" t="n">
        <f aca="false">H28*J28*K28</f>
        <v>2500</v>
      </c>
      <c r="M28" s="15" t="s">
        <v>184</v>
      </c>
      <c r="N28" s="15" t="s">
        <v>185</v>
      </c>
      <c r="O28" s="15" t="s">
        <v>186</v>
      </c>
    </row>
    <row r="29" customFormat="false" ht="23.85" hidden="false" customHeight="false" outlineLevel="0" collapsed="false">
      <c r="A29" s="15" t="n">
        <v>25</v>
      </c>
      <c r="B29" s="15" t="s">
        <v>187</v>
      </c>
      <c r="C29" s="15" t="s">
        <v>39</v>
      </c>
      <c r="D29" s="15" t="s">
        <v>11</v>
      </c>
      <c r="E29" s="15" t="s">
        <v>8</v>
      </c>
      <c r="F29" s="15" t="s">
        <v>188</v>
      </c>
      <c r="G29" s="16" t="n">
        <v>10000</v>
      </c>
      <c r="H29" s="16" t="n">
        <v>0</v>
      </c>
      <c r="I29" s="15" t="s">
        <v>189</v>
      </c>
      <c r="J29" s="17" t="n">
        <v>0</v>
      </c>
      <c r="K29" s="17" t="n">
        <v>0</v>
      </c>
      <c r="L29" s="18" t="n">
        <f aca="false">H29*J29*K29</f>
        <v>0</v>
      </c>
      <c r="M29" s="15" t="s">
        <v>190</v>
      </c>
      <c r="N29" s="15" t="s">
        <v>191</v>
      </c>
      <c r="O29" s="15" t="s">
        <v>192</v>
      </c>
    </row>
    <row r="30" customFormat="false" ht="23.85" hidden="false" customHeight="false" outlineLevel="0" collapsed="false">
      <c r="A30" s="15" t="n">
        <v>26</v>
      </c>
      <c r="B30" s="15" t="s">
        <v>193</v>
      </c>
      <c r="C30" s="15" t="s">
        <v>39</v>
      </c>
      <c r="D30" s="15" t="s">
        <v>14</v>
      </c>
      <c r="E30" s="15" t="s">
        <v>8</v>
      </c>
      <c r="F30" s="15" t="s">
        <v>194</v>
      </c>
      <c r="G30" s="16" t="n">
        <v>5000</v>
      </c>
      <c r="H30" s="16" t="n">
        <v>0</v>
      </c>
      <c r="I30" s="15" t="s">
        <v>195</v>
      </c>
      <c r="J30" s="17" t="n">
        <v>0</v>
      </c>
      <c r="K30" s="17" t="n">
        <v>0</v>
      </c>
      <c r="L30" s="18" t="n">
        <f aca="false">H30*J30*K30</f>
        <v>0</v>
      </c>
      <c r="M30" s="15" t="s">
        <v>196</v>
      </c>
      <c r="N30" s="15" t="s">
        <v>197</v>
      </c>
      <c r="O30" s="15" t="s">
        <v>198</v>
      </c>
    </row>
    <row r="31" customFormat="false" ht="15" hidden="false" customHeight="false" outlineLevel="0" collapsed="false">
      <c r="B31" s="7" t="s">
        <v>199</v>
      </c>
      <c r="H31" s="9" t="n">
        <f aca="false">SUM(H5:H30)</f>
        <v>658816</v>
      </c>
      <c r="L31" s="9" t="n">
        <f aca="false">SUM(L5:L30)</f>
        <v>96386.96</v>
      </c>
    </row>
  </sheetData>
  <autoFilter ref="A4:O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2026-10-20T02:06:08Z</dcterms:created>
  <dc:creator>openpyxl</dc:creator>
  <dc:description/>
  <dc:language>en-US</dc:language>
  <cp:lastModifiedBy/>
  <dcterms:modified xsi:type="dcterms:W3CDTF">2026-10-20T02:06:08Z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